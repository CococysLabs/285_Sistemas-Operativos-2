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4"/>
    <sheet state="visible" name="Analisis de Contenido" sheetId="2" r:id="rId5"/>
    <sheet state="visible" name="Analisis Tecnologico" sheetId="3" r:id="rId6"/>
    <sheet state="hidden" name="Metadata" sheetId="4" r:id="rId7"/>
  </sheets>
  <definedNames/>
  <calcPr/>
  <extLst>
    <ext uri="GoogleSheetsCustomDataVersion2">
      <go:sheetsCustomData xmlns:go="http://customooxmlschemas.google.com/" r:id="rId8" roundtripDataChecksum="6NyByI1NFYIMFNOI7MW6iBLE/QqxVe2KhxaAphfLOCw="/>
    </ext>
  </extLst>
</workbook>
</file>

<file path=xl/sharedStrings.xml><?xml version="1.0" encoding="utf-8"?>
<sst xmlns="http://schemas.openxmlformats.org/spreadsheetml/2006/main" count="307" uniqueCount="225">
  <si>
    <t>x</t>
  </si>
  <si>
    <t>Comparación con referentes internacionales</t>
  </si>
  <si>
    <t>Identificación de referentes internacionales</t>
  </si>
  <si>
    <t>Codigo-Nombre</t>
  </si>
  <si>
    <t>17 - Área Social Humanística 1</t>
  </si>
  <si>
    <t>101 - Área Matemática Básica 1</t>
  </si>
  <si>
    <t>5 - Técnicas de Estudio e Investigación</t>
  </si>
  <si>
    <t>Nombre del Curso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</si>
  <si>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</si>
  <si>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</si>
  <si>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</si>
  <si>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</si>
  <si>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</si>
  <si>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</si>
  <si>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</si>
  <si>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</si>
  <si>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</si>
  <si>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</si>
  <si>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</si>
  <si>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</si>
  <si>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</si>
  <si>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285 - Sistemas Operativos 2</t>
  </si>
  <si>
    <t>1 - Ética Profesional</t>
  </si>
  <si>
    <t>Semestre que aplica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</si>
  <si>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</si>
  <si>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</si>
  <si>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</si>
  <si>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</si>
  <si>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</si>
  <si>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Segundo Semestre 2026</t>
  </si>
  <si>
    <t>152 - Física 2</t>
  </si>
  <si>
    <t>10 - Lógica</t>
  </si>
  <si>
    <t>11 - Idioma Técnico 4</t>
  </si>
  <si>
    <t xml:space="preserve">**Este ejercicio de analisis de servira para mejorar el laboratorio para el siguiente semestre.   </t>
  </si>
  <si>
    <t>2025 - Prácticas Iniciales</t>
  </si>
  <si>
    <t>732 - Estadística 1</t>
  </si>
  <si>
    <t>1. Universidad Refente</t>
  </si>
  <si>
    <t>Tecnologias y/o Herramientas actuales en el laboratorio</t>
  </si>
  <si>
    <t>777 - Organización de Lenguajes y Compiladores 1</t>
  </si>
  <si>
    <t>964 - Organización Computacional</t>
  </si>
  <si>
    <t>772 - Estructuras de Datos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</si>
  <si>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</si>
  <si>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116 - Matemática Aplicada 3</t>
  </si>
  <si>
    <t>118 - Matemática Aplicada 1</t>
  </si>
  <si>
    <t>18 - Filosofía de la Ciencia</t>
  </si>
  <si>
    <t>Tecnologias y/o herramientas en Tendencia</t>
  </si>
  <si>
    <t>722 - Teoría de Sistemas 1</t>
  </si>
  <si>
    <t>601 - Investigación de Operaciones 1</t>
  </si>
  <si>
    <t>Lenguaje C</t>
  </si>
  <si>
    <t>14 - Economía</t>
  </si>
  <si>
    <t>Nombre de la Universidad</t>
  </si>
  <si>
    <t>781 - Organización de Lenguajes y Compiladores 2</t>
  </si>
  <si>
    <t>Massachussetts Institute of Technology (MIT)</t>
  </si>
  <si>
    <t>778 - Arquitectura de Computadoras y Ensambladores 1</t>
  </si>
  <si>
    <t>773 - Manejo e Implementación de Archivos</t>
  </si>
  <si>
    <t>122 - Matemática Aplicada 4</t>
  </si>
  <si>
    <t>Rust</t>
  </si>
  <si>
    <t>Pais</t>
  </si>
  <si>
    <t>120 - Matemática Aplicada 2</t>
  </si>
  <si>
    <t>Estados Unidos</t>
  </si>
  <si>
    <t>200 - Ingeniería Eléctrica 1</t>
  </si>
  <si>
    <t>Linux basado en Debian</t>
  </si>
  <si>
    <t>724 - Teoría de Sistemas 2</t>
  </si>
  <si>
    <t>Linux</t>
  </si>
  <si>
    <t>Virtual Box</t>
  </si>
  <si>
    <t>603 - Investigación de Operaciones 2</t>
  </si>
  <si>
    <t>Docker</t>
  </si>
  <si>
    <t>Operating System Engineering 6-828</t>
  </si>
  <si>
    <t>734 - Estadística 2</t>
  </si>
  <si>
    <t xml:space="preserve">QEMU                        </t>
  </si>
  <si>
    <t>281 - Sistemas Operativos 1</t>
  </si>
  <si>
    <t>QEMU</t>
  </si>
  <si>
    <t>Syscalls en Linux</t>
  </si>
  <si>
    <t>779 - Arquitectura de Computadoras y Ensambladores 2</t>
  </si>
  <si>
    <t>Fuente de Información</t>
  </si>
  <si>
    <t>strace</t>
  </si>
  <si>
    <t>970 - Redes de Computadoras 1</t>
  </si>
  <si>
    <t>https://ocw.mit.edu/courses/6-828-operating-system-engineering-fall-2012/pages/calendar/</t>
  </si>
  <si>
    <t>Kernel Modules (LKM)</t>
  </si>
  <si>
    <t>774 - Sistemas de Bases de Datos 1</t>
  </si>
  <si>
    <t>eBPF</t>
  </si>
  <si>
    <t>Sistema de archivos /proc</t>
  </si>
  <si>
    <t>2036 - Prácticas Intermedias</t>
  </si>
  <si>
    <t>Prometheus</t>
  </si>
  <si>
    <t>Toolchain GCC</t>
  </si>
  <si>
    <t>975 - Redes de Computadoras 2</t>
  </si>
  <si>
    <t>perf</t>
  </si>
  <si>
    <t>775 - Sistemas de Bases de Datos 2</t>
  </si>
  <si>
    <t>* Si el tema del curso no esta en el referente dejala la casilla en blanco</t>
  </si>
  <si>
    <t xml:space="preserve">GDB                                                     </t>
  </si>
  <si>
    <t>283 - Análisis y Diseño de Sistemas 1</t>
  </si>
  <si>
    <t>GDB</t>
  </si>
  <si>
    <t>797 - Seminario de Sistemas 1</t>
  </si>
  <si>
    <t>Consulta con el catedratico de los hallazgos y si debes hacer algun cambio en tecnologias y/o herramientas para el proximo semestre</t>
  </si>
  <si>
    <t>700 - Ingeniería Económica 1</t>
  </si>
  <si>
    <t>729 - Modelación y Simulación 1</t>
  </si>
  <si>
    <t>786 - Sistemas Organizacionales y Gerenciales 1</t>
  </si>
  <si>
    <t>972 - Inteligencia Artificial 1</t>
  </si>
  <si>
    <t>Universidad</t>
  </si>
  <si>
    <t>966 - Seguridad y Auditoría de Redes de Computadoras</t>
  </si>
  <si>
    <t>785 - Análisis y Diseño de Sistemas 2</t>
  </si>
  <si>
    <t>No.</t>
  </si>
  <si>
    <t>798 - Seminario de Sistemas 2</t>
  </si>
  <si>
    <t>788 - Sistemas Aplicados 1</t>
  </si>
  <si>
    <t>Estandar</t>
  </si>
  <si>
    <t>776 - Bases de Datos Avanzadas</t>
  </si>
  <si>
    <t>Contenido de la Universidad Referente</t>
  </si>
  <si>
    <t>2009 - Prácticas Finales Ingeniería Ciencias y Sistemas</t>
  </si>
  <si>
    <t>Laboratorio Actual ( Aqui van los temas impartidos en el presente semestre)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</si>
  <si>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</si>
  <si>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</si>
  <si>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</si>
  <si>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</si>
  <si>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Sistemas operativos</t>
  </si>
  <si>
    <t>974 - Redes de Nueva Generación</t>
  </si>
  <si>
    <t>780 - Software Avanzado</t>
  </si>
  <si>
    <t>789 - Sistemas Aplicados 2</t>
  </si>
  <si>
    <t>735 - Auditoría de Proyectos de Software</t>
  </si>
  <si>
    <t>Hardware de PC y programación x86</t>
  </si>
  <si>
    <t>7999 - Seminario de Investigación EPS Sistemas</t>
  </si>
  <si>
    <t>799 - Seminario de Investigación</t>
  </si>
  <si>
    <t>90 - Programacion de Computadoras 1</t>
  </si>
  <si>
    <t>Competencia</t>
  </si>
  <si>
    <t>92 - Programacion de Computadoras 2</t>
  </si>
  <si>
    <t>Unidad</t>
  </si>
  <si>
    <t>Descripción general de los principales componentes internos y la interfaz de llamadas al sistema</t>
  </si>
  <si>
    <t>667 - Programacion Comercial 1</t>
  </si>
  <si>
    <t>Tema</t>
  </si>
  <si>
    <t>768 - Algoritmos</t>
  </si>
  <si>
    <t>SubTema</t>
  </si>
  <si>
    <t>0089 - Comunicación Asertiva</t>
  </si>
  <si>
    <t>Contenido</t>
  </si>
  <si>
    <t>Memoria virtual</t>
  </si>
  <si>
    <t>El estudiante describe la arquitectura y los componentes fundamentales de un S.O. analizando la separación entre el espacio de usuario y el espacio de kernel para establecer las bases conceptuales necesarias para la modificación del sistema.</t>
  </si>
  <si>
    <t>Interrupciones y excepciones</t>
  </si>
  <si>
    <t>Introducción y Configuración del Entorno</t>
  </si>
  <si>
    <t>Fundamentos de Sistemas Operativos</t>
  </si>
  <si>
    <t>Repaso de conceptos clave de SO. Introducción a la arquitectura del kernel linux</t>
  </si>
  <si>
    <t>Multiprocesadores y bloqueos</t>
  </si>
  <si>
    <t>Procesos y conmutación</t>
  </si>
  <si>
    <t>Suspensión y reactivación</t>
  </si>
  <si>
    <t>Sistemas de archivos</t>
  </si>
  <si>
    <t>El estudio de los sistemas operativos es fundamental para comprender la interacción entre hardware y software mediante abstracciones como procesos, memoria y dispositivos.</t>
  </si>
  <si>
    <t>Recuperación tras fallos</t>
  </si>
  <si>
    <t>Virtualización y Preparación</t>
  </si>
  <si>
    <t>Introducción al kernel USAX. Configuración del entorno con QEMU y el toolchain de compilación cruzada.</t>
  </si>
  <si>
    <t>El estudiante debe comprender conceptos de virtualización y aislamiento de recursos.</t>
  </si>
  <si>
    <t xml:space="preserve">Rendimiento del sistema de archivos y recuperación rápida tras fallos  </t>
  </si>
  <si>
    <t>Arranque y Depuración del Kernel</t>
  </si>
  <si>
    <t>Proceso de arranque de USAX en QEMU. Uso de GDB para depuración remota: puntos de ruptura, inspección de memoria y registros.</t>
  </si>
  <si>
    <t>Organización</t>
  </si>
  <si>
    <t>Máquinas virtuales</t>
  </si>
  <si>
    <t>El estudiante interpreta el flujo de ejecución y las interacciones clave dentro de un kernel mediante la compilación, ejecución y depuración del código fuente del kernel para comprender cómo el sistema operativo gestiona el hardware y los procesos desde el arranque.</t>
  </si>
  <si>
    <t>Gestión de Memoria</t>
  </si>
  <si>
    <t>Codiseño de lenguaje y sistema operativo</t>
  </si>
  <si>
    <t>Memoria Física y Virtual</t>
  </si>
  <si>
    <t>Proceso de arranque del kernel. Gestión de memoria física (mapa de memoria, alocadores básicos). Paginación y tablas de páginas.</t>
  </si>
  <si>
    <t>Es esencial el manejo de memoria, incluyendo memoria virtual, paginación y asignación de recursos.</t>
  </si>
  <si>
    <t xml:space="preserve">Bloqueos escalables </t>
  </si>
  <si>
    <t>Aislamiento y Espacio de Direcciones</t>
  </si>
  <si>
    <t>Traducción de direcciones. Separación entre el espacio de usuario y el espacio de kernel.</t>
  </si>
  <si>
    <t>Los estudiantes deben comprender la diferencia entre modo usuario y modo kernel, así como los mecanismos de protección del sistema.</t>
  </si>
  <si>
    <t>Coordinación sin bloqueos</t>
  </si>
  <si>
    <t>Procesos e Interacción</t>
  </si>
  <si>
    <t>Estructura y Ciclo de Vida de un Proceso</t>
  </si>
  <si>
    <t>El Process Control Block (task_struct). Estados (Running, Sleeping, Zombie, etc.) y transiciones de un proceso.</t>
  </si>
  <si>
    <t>El estudiante modifica el código fuente del kernel en lenguaje C para implementar nuevas llamadas al sistema (syscalls) que exponen funcionalidades y transfieren datos de forma segura entre el espacio de kernel y el de usuario.</t>
  </si>
  <si>
    <t>La Interfaz de Llamadas al Sistema</t>
  </si>
  <si>
    <t>Mecanismo de traps. Implementación de una syscall hello_world() directamente en el kernel para validar la comunicación.</t>
  </si>
  <si>
    <t>El estudiante debe comprender e implementar llamadas al sistema (system calls) como interfaz entre el usuario y el kernel.</t>
  </si>
  <si>
    <t>Modularizando el Kernel (LKM)</t>
  </si>
  <si>
    <t>2. Estandar Internacional</t>
  </si>
  <si>
    <t>Introducción a los Módulos Cargables del Kernel. Ventajas de la modularidad. Migración de la syscall hello_world() a un módulo.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</si>
  <si>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</si>
  <si>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Primer Programa Cliente</t>
  </si>
  <si>
    <t>Creación de un programa en C que invoca la syscall hello_world() desde el espacio de usuario.</t>
  </si>
  <si>
    <t>Nombre del Estandar</t>
  </si>
  <si>
    <t>ACM/IEEE Computer Science Curricula (CS2023)</t>
  </si>
  <si>
    <t>Transferencia de Datos Estructurados</t>
  </si>
  <si>
    <t>Transfiriendo datos complejos del kernel al espacio de usuario.</t>
  </si>
  <si>
    <t>Sección , Capitulo , etc,</t>
  </si>
  <si>
    <t>El estudiante analiza las estructuras de datos internas del kernel que gestionan procesos, memoria y tiempo mediante la lectura e interpretación de su código fuente para extraer métricas de rendimiento y estado del sistema, como la lista de procesos o el uso de CPU.</t>
  </si>
  <si>
    <t>Monitoreo del Sistema</t>
  </si>
  <si>
    <t xml:space="preserve">Knowledge Area: Operating Systems (OS)
Temas: OS Principles, Concurrency, Memory Management, System Calls, Performance &amp; Monitoring
</t>
  </si>
  <si>
    <t>Estructura de un proceso</t>
  </si>
  <si>
    <t>Estructuras del kernel para obtener campos clave de procesos como PID, estado, PPID.</t>
  </si>
  <si>
    <t>Funte de Información</t>
  </si>
  <si>
    <t>Concurrencia y Lectura Segura de Datos</t>
  </si>
  <si>
    <t>https://csed.acm.org/wp-content/uploads/2023/03/Version-Beta-v2.pdf</t>
  </si>
  <si>
    <t>El problema de las condiciones de carrera al leer datos del kernel. Introducción a primitivas de sincronización.</t>
  </si>
  <si>
    <t>Se deben aplicar conceptos de concurrencia, incluyendo hilos, sincronización y condiciones de carrera.</t>
  </si>
  <si>
    <t>Medición de Tiempo y Carga del Sistema</t>
  </si>
  <si>
    <t>Estructuras del kernel para obtener el tiempo de actividad (uptime) y la carga promedio (load average).</t>
  </si>
  <si>
    <t>Se deben analizar estructuras internas del sistema operativo para monitorear procesos, uso de CPU y memoria.</t>
  </si>
  <si>
    <t>Medición de Memoria y Procesos</t>
  </si>
  <si>
    <t>Estructuras del kernel para obtener el uso total/libre de memoria y el número de procesos activos.</t>
  </si>
  <si>
    <t>Procesos en ejecucion</t>
  </si>
  <si>
    <t>Contenido del Estandar</t>
  </si>
  <si>
    <t>Listado de procesos: Aprender a iterar la lista de tareas del kernel (usando for_each_process)</t>
  </si>
  <si>
    <t>Métricas Complejas de CPU</t>
  </si>
  <si>
    <t>Cálculo del uso de CPU: Entender los "jiffies" y las estadísticas por CPU. Investigar las estructuras del kernel para obtener los tiempos de CPU (usuario, sistema, idle).</t>
  </si>
  <si>
    <t>El estudiante diseña aplicaciónes en espacio de usuario integrando las llamadas al sistema para generar funcionalidad y expandir las capacidades del sistema operativo que el usuario puede aprovechar</t>
  </si>
  <si>
    <t>Alternativas de Comunicación</t>
  </si>
  <si>
    <t>El Sistema de Archivos /proc</t>
  </si>
  <si>
    <t>Fundamentos del sistema de archivos /proc. Comparativa entre syscalls y la exportación de datos a través de archivos virtuales.</t>
  </si>
  <si>
    <t>Se promueve el desarrollo de proyectos integradores que apliquen múltiples conceptos del sistema operativo.</t>
  </si>
  <si>
    <t>Exposicion de datos vía /proc</t>
  </si>
  <si>
    <t>Análisis de /proc/meminfo y /proc/stat y cómo exponer estas métricas en el kernel</t>
  </si>
  <si>
    <t>Se recomienda el uso de sistemas operativos reales como Linux para reforzar el aprendizaje práctico.</t>
  </si>
  <si>
    <t>Se deben evaluar aspectos de diseño del sistema operativo como eficiencia, seguridad y escalabilidad.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</si>
  <si>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</si>
  <si>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</si>
  <si>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</si>
  <si>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</si>
  <si>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https://www.kernel.org</t>
  </si>
  <si>
    <t>https://www.rust-lang.org</t>
  </si>
  <si>
    <t>https://ebpf.io</t>
  </si>
  <si>
    <t>https://www.qemu.org</t>
  </si>
  <si>
    <t>https://www.docker.com</t>
  </si>
  <si>
    <t>Kubernetes</t>
  </si>
  <si>
    <t>https://kubernetes.io</t>
  </si>
  <si>
    <t>https://www.gnu.org/software/gdb</t>
  </si>
  <si>
    <t>https://strace.io</t>
  </si>
  <si>
    <t>https://perf.wiki.kernel.org</t>
  </si>
  <si>
    <t>https://prometheus.io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</si>
</sst>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/>
    <font>
      <b/>
      <sz val="12.0"/>
      <color theme="1"/>
      <name val="Arial"/>
    </font>
    <font>
      <color rgb="FFB7B7B7"/>
      <name val="Arial"/>
    </font>
    <font>
      <b/>
      <sz val="12.0"/>
      <color rgb="FF4285F4"/>
      <name val="Arial"/>
    </font>
    <font>
      <color rgb="FFFFFFFF"/>
      <name val="Arial"/>
    </font>
    <font>
      <color rgb="FF999999"/>
      <name val="Arial"/>
    </font>
    <font>
      <color theme="1"/>
      <name val="Arial"/>
      <scheme val="minor"/>
    </font>
    <font>
      <color rgb="FFCCCCCC"/>
      <name val="Arial"/>
    </font>
    <font>
      <b/>
      <color rgb="FF4A86E8"/>
      <name val="Arial"/>
    </font>
    <font>
      <u/>
      <color rgb="FF0000FF"/>
      <name val="Arial"/>
    </font>
    <font>
      <b/>
      <color theme="1"/>
      <name val="Arial"/>
    </font>
    <font>
      <u/>
      <color rgb="FF1155CC"/>
      <name val="Arial"/>
    </font>
    <font>
      <u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2" fillId="0" fontId="3" numFmtId="0" xfId="0" applyBorder="1" applyFont="1"/>
    <xf borderId="0" fillId="0" fontId="1" numFmtId="0" xfId="0" applyAlignment="1" applyFont="1">
      <alignment vertical="bottom"/>
    </xf>
    <xf borderId="3" fillId="0" fontId="3" numFmtId="0" xfId="0" applyBorder="1" applyFont="1"/>
    <xf borderId="4" fillId="2" fontId="4" numFmtId="0" xfId="0" applyAlignment="1" applyBorder="1" applyFill="1" applyFont="1">
      <alignment shrinkToFit="0" vertical="bottom" wrapText="1"/>
    </xf>
    <xf borderId="5" fillId="0" fontId="1" numFmtId="0" xfId="0" applyAlignment="1" applyBorder="1" applyFont="1">
      <alignment shrinkToFit="0" vertical="bottom" wrapText="1"/>
    </xf>
    <xf borderId="6" fillId="0" fontId="3" numFmtId="0" xfId="0" applyBorder="1" applyFont="1"/>
    <xf borderId="7" fillId="0" fontId="3" numFmtId="0" xfId="0" applyBorder="1" applyFont="1"/>
    <xf borderId="5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3" fontId="1" numFmtId="0" xfId="0" applyAlignment="1" applyFill="1" applyFont="1">
      <alignment shrinkToFit="0" wrapText="1"/>
    </xf>
    <xf borderId="0" fillId="3" fontId="1" numFmtId="0" xfId="0" applyFont="1"/>
    <xf borderId="0" fillId="0" fontId="9" numFmtId="0" xfId="0" applyAlignment="1" applyFont="1">
      <alignment readingOrder="0"/>
    </xf>
    <xf borderId="4" fillId="2" fontId="1" numFmtId="0" xfId="0" applyAlignment="1" applyBorder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1" numFmtId="0" xfId="0" applyFont="1"/>
    <xf borderId="0" fillId="0" fontId="1" numFmtId="0" xfId="0" applyAlignment="1" applyFont="1">
      <alignment shrinkToFit="0" vertical="bottom" wrapText="1"/>
    </xf>
    <xf borderId="5" fillId="0" fontId="12" numFmtId="0" xfId="0" applyAlignment="1" applyBorder="1" applyFont="1">
      <alignment readingOrder="0" vertical="bottom"/>
    </xf>
    <xf borderId="4" fillId="4" fontId="1" numFmtId="0" xfId="0" applyAlignment="1" applyBorder="1" applyFill="1" applyFont="1">
      <alignment horizontal="center" shrinkToFit="0" vertical="bottom" wrapText="1"/>
    </xf>
    <xf borderId="5" fillId="2" fontId="13" numFmtId="0" xfId="0" applyAlignment="1" applyBorder="1" applyFont="1">
      <alignment vertical="bottom"/>
    </xf>
    <xf borderId="5" fillId="2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vertical="bottom"/>
    </xf>
    <xf borderId="0" fillId="0" fontId="9" numFmtId="0" xfId="0" applyAlignment="1" applyFont="1">
      <alignment readingOrder="0" shrinkToFit="0" wrapText="1"/>
    </xf>
    <xf borderId="4" fillId="0" fontId="1" numFmtId="0" xfId="0" applyAlignment="1" applyBorder="1" applyFont="1">
      <alignment readingOrder="0" vertical="bottom"/>
    </xf>
    <xf borderId="5" fillId="0" fontId="14" numFmtId="0" xfId="0" applyAlignment="1" applyBorder="1" applyFont="1">
      <alignment readingOrder="0" vertical="bottom"/>
    </xf>
    <xf borderId="0" fillId="0" fontId="5" numFmtId="0" xfId="0" applyFont="1"/>
    <xf borderId="4" fillId="2" fontId="1" numFmtId="0" xfId="0" applyBorder="1" applyFont="1"/>
    <xf borderId="4" fillId="0" fontId="1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perf.wiki.kernel.org" TargetMode="External"/><Relationship Id="rId10" Type="http://schemas.openxmlformats.org/officeDocument/2006/relationships/hyperlink" Target="https://strace.io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prometheus.io" TargetMode="External"/><Relationship Id="rId1" Type="http://schemas.openxmlformats.org/officeDocument/2006/relationships/hyperlink" Target="https://ocw.mit.edu/courses/6-828-operating-system-engineering-fall-2012/pages/calendar/" TargetMode="External"/><Relationship Id="rId2" Type="http://schemas.openxmlformats.org/officeDocument/2006/relationships/hyperlink" Target="https://csed.acm.org/wp-content/uploads/2023/03/Version-Beta-v2.pdf" TargetMode="External"/><Relationship Id="rId3" Type="http://schemas.openxmlformats.org/officeDocument/2006/relationships/hyperlink" Target="https://www.kernel.org" TargetMode="External"/><Relationship Id="rId4" Type="http://schemas.openxmlformats.org/officeDocument/2006/relationships/hyperlink" Target="https://www.rust-lang.org" TargetMode="External"/><Relationship Id="rId9" Type="http://schemas.openxmlformats.org/officeDocument/2006/relationships/hyperlink" Target="https://www.gnu.org/software/gdb" TargetMode="External"/><Relationship Id="rId5" Type="http://schemas.openxmlformats.org/officeDocument/2006/relationships/hyperlink" Target="https://ebpf.io" TargetMode="External"/><Relationship Id="rId6" Type="http://schemas.openxmlformats.org/officeDocument/2006/relationships/hyperlink" Target="https://www.qemu.org" TargetMode="External"/><Relationship Id="rId7" Type="http://schemas.openxmlformats.org/officeDocument/2006/relationships/hyperlink" Target="https://www.docker.com" TargetMode="External"/><Relationship Id="rId8" Type="http://schemas.openxmlformats.org/officeDocument/2006/relationships/hyperlink" Target="https://kubernetes.i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7.13"/>
  </cols>
  <sheetData>
    <row r="1" ht="15.75" customHeight="1">
      <c r="A1" s="1" t="s">
        <v>0</v>
      </c>
      <c r="B1" s="3" t="s">
        <v>2</v>
      </c>
    </row>
    <row r="2" ht="15.75" customHeight="1">
      <c r="A2" s="5"/>
      <c r="B2" s="5"/>
      <c r="C2" s="5"/>
      <c r="D2" s="5"/>
      <c r="E2" s="5"/>
      <c r="F2" s="5"/>
      <c r="G2" s="5"/>
    </row>
    <row r="3" ht="15.75" customHeight="1">
      <c r="A3" s="5"/>
      <c r="B3" s="7" t="s">
        <v>7</v>
      </c>
      <c r="C3" s="11" t="s">
        <v>21</v>
      </c>
      <c r="D3" s="9"/>
      <c r="E3" s="9"/>
      <c r="F3" s="9"/>
      <c r="G3" s="10"/>
    </row>
    <row r="4" ht="15.75" customHeight="1">
      <c r="A4" s="5"/>
      <c r="B4" s="7" t="s">
        <v>23</v>
      </c>
      <c r="C4" s="12" t="s">
        <v>29</v>
      </c>
      <c r="D4" s="9"/>
      <c r="E4" s="9"/>
      <c r="F4" s="9"/>
      <c r="G4" s="10"/>
    </row>
    <row r="5" ht="15.75" customHeight="1">
      <c r="A5" s="5"/>
      <c r="B5" s="5"/>
      <c r="C5" s="5"/>
      <c r="D5" s="5"/>
      <c r="E5" s="5"/>
      <c r="F5" s="5"/>
      <c r="G5" s="5"/>
    </row>
    <row r="6" ht="15.75" customHeight="1">
      <c r="A6" s="5"/>
      <c r="B6" s="14" t="s">
        <v>36</v>
      </c>
      <c r="C6" s="5"/>
      <c r="D6" s="5"/>
      <c r="E6" s="5"/>
      <c r="F6" s="5"/>
      <c r="G6" s="5"/>
    </row>
    <row r="7" ht="41.25" customHeight="1">
      <c r="A7" s="5"/>
      <c r="B7" s="16" t="s">
        <v>41</v>
      </c>
    </row>
    <row r="8" ht="15.75" customHeight="1">
      <c r="A8" s="5"/>
      <c r="B8" s="5"/>
      <c r="C8" s="5"/>
      <c r="D8" s="5"/>
      <c r="E8" s="5"/>
      <c r="F8" s="5"/>
      <c r="G8" s="5"/>
    </row>
    <row r="9" ht="30.0" customHeight="1">
      <c r="A9" s="5"/>
      <c r="B9" s="20" t="s">
        <v>50</v>
      </c>
      <c r="C9" s="11" t="s">
        <v>52</v>
      </c>
      <c r="D9" s="9"/>
      <c r="E9" s="9"/>
      <c r="F9" s="9"/>
      <c r="G9" s="10"/>
    </row>
    <row r="10" ht="32.25" customHeight="1">
      <c r="A10" s="5"/>
      <c r="B10" s="20" t="s">
        <v>57</v>
      </c>
      <c r="C10" s="11" t="s">
        <v>59</v>
      </c>
      <c r="D10" s="9"/>
      <c r="E10" s="9"/>
      <c r="F10" s="9"/>
      <c r="G10" s="10"/>
    </row>
    <row r="11" ht="37.5" customHeight="1">
      <c r="A11" s="5"/>
      <c r="B11" s="20" t="s">
        <v>7</v>
      </c>
      <c r="C11" s="11" t="s">
        <v>67</v>
      </c>
      <c r="D11" s="9"/>
      <c r="E11" s="9"/>
      <c r="F11" s="9"/>
      <c r="G11" s="10"/>
    </row>
    <row r="12" ht="37.5" customHeight="1">
      <c r="A12" s="5"/>
      <c r="B12" s="20" t="s">
        <v>74</v>
      </c>
      <c r="C12" s="25" t="s">
        <v>77</v>
      </c>
      <c r="D12" s="9"/>
      <c r="E12" s="9"/>
      <c r="F12" s="9"/>
      <c r="G12" s="10"/>
    </row>
    <row r="13" ht="15.75" customHeight="1">
      <c r="A13" s="5"/>
      <c r="B13" s="5"/>
      <c r="C13" s="5"/>
      <c r="D13" s="5"/>
      <c r="E13" s="5"/>
      <c r="F13" s="5"/>
      <c r="G13" s="5"/>
    </row>
    <row r="14" ht="15.75" customHeight="1">
      <c r="A14" s="5"/>
      <c r="B14" s="27" t="s">
        <v>101</v>
      </c>
      <c r="C14" s="27" t="s">
        <v>106</v>
      </c>
      <c r="D14" s="9"/>
      <c r="E14" s="9"/>
      <c r="F14" s="9"/>
      <c r="G14" s="10"/>
    </row>
    <row r="15" ht="15.75" customHeight="1">
      <c r="A15" s="5"/>
      <c r="B15" s="29">
        <v>1.0</v>
      </c>
      <c r="C15" s="30" t="s">
        <v>113</v>
      </c>
      <c r="D15" s="9"/>
      <c r="E15" s="9"/>
      <c r="F15" s="9"/>
      <c r="G15" s="10"/>
    </row>
    <row r="16" ht="15.75" customHeight="1">
      <c r="A16" s="5"/>
      <c r="B16" s="29">
        <v>2.0</v>
      </c>
      <c r="C16" s="30" t="s">
        <v>118</v>
      </c>
      <c r="D16" s="9"/>
      <c r="E16" s="9"/>
      <c r="F16" s="9"/>
      <c r="G16" s="10"/>
    </row>
    <row r="17" ht="15.75" customHeight="1">
      <c r="A17" s="5"/>
      <c r="B17" s="31">
        <v>3.0</v>
      </c>
      <c r="C17" s="30" t="s">
        <v>125</v>
      </c>
      <c r="D17" s="9"/>
      <c r="E17" s="9"/>
      <c r="F17" s="9"/>
      <c r="G17" s="10"/>
    </row>
    <row r="18" ht="15.75" customHeight="1">
      <c r="A18" s="5"/>
      <c r="B18" s="31">
        <v>4.0</v>
      </c>
      <c r="C18" s="30" t="s">
        <v>132</v>
      </c>
      <c r="D18" s="9"/>
      <c r="E18" s="9"/>
      <c r="F18" s="9"/>
      <c r="G18" s="10"/>
    </row>
    <row r="19" ht="15.75" customHeight="1">
      <c r="A19" s="5"/>
      <c r="B19" s="31">
        <v>5.0</v>
      </c>
      <c r="C19" s="30" t="s">
        <v>134</v>
      </c>
      <c r="D19" s="9"/>
      <c r="E19" s="9"/>
      <c r="F19" s="9"/>
      <c r="G19" s="10"/>
    </row>
    <row r="20" ht="15.75" customHeight="1">
      <c r="A20" s="5"/>
      <c r="B20" s="31">
        <v>6.0</v>
      </c>
      <c r="C20" s="30" t="s">
        <v>138</v>
      </c>
      <c r="D20" s="9"/>
      <c r="E20" s="9"/>
      <c r="F20" s="9"/>
      <c r="G20" s="10"/>
    </row>
    <row r="21" ht="15.75" customHeight="1">
      <c r="A21" s="5"/>
      <c r="B21" s="31">
        <v>7.0</v>
      </c>
      <c r="C21" s="30" t="s">
        <v>139</v>
      </c>
      <c r="D21" s="9"/>
      <c r="E21" s="9"/>
      <c r="F21" s="9"/>
      <c r="G21" s="10"/>
    </row>
    <row r="22" ht="15.75" customHeight="1">
      <c r="A22" s="5"/>
      <c r="B22" s="33">
        <v>8.0</v>
      </c>
      <c r="C22" s="30" t="s">
        <v>140</v>
      </c>
      <c r="D22" s="9"/>
      <c r="E22" s="9"/>
      <c r="F22" s="9"/>
      <c r="G22" s="10"/>
    </row>
    <row r="23" ht="15.75" customHeight="1">
      <c r="A23" s="5"/>
      <c r="B23" s="33">
        <v>9.0</v>
      </c>
      <c r="C23" s="30" t="s">
        <v>141</v>
      </c>
      <c r="D23" s="9"/>
      <c r="E23" s="9"/>
      <c r="F23" s="9"/>
      <c r="G23" s="10"/>
    </row>
    <row r="24" ht="15.75" customHeight="1">
      <c r="A24" s="5"/>
      <c r="B24" s="31">
        <v>10.0</v>
      </c>
      <c r="C24" s="30" t="s">
        <v>143</v>
      </c>
      <c r="D24" s="9"/>
      <c r="E24" s="9"/>
      <c r="F24" s="9"/>
      <c r="G24" s="10"/>
    </row>
    <row r="25" ht="15.75" customHeight="1">
      <c r="A25" s="5"/>
      <c r="B25" s="31">
        <v>11.0</v>
      </c>
      <c r="C25" s="30" t="s">
        <v>147</v>
      </c>
      <c r="D25" s="9"/>
      <c r="E25" s="9"/>
      <c r="F25" s="9"/>
      <c r="G25" s="10"/>
    </row>
    <row r="26" ht="15.75" customHeight="1">
      <c r="A26" s="5"/>
      <c r="B26" s="33">
        <v>12.0</v>
      </c>
      <c r="C26" s="30" t="s">
        <v>150</v>
      </c>
      <c r="D26" s="9"/>
      <c r="E26" s="9"/>
      <c r="F26" s="9"/>
      <c r="G26" s="10"/>
    </row>
    <row r="27" ht="15.75" customHeight="1">
      <c r="A27" s="5"/>
      <c r="B27" s="33">
        <v>13.0</v>
      </c>
      <c r="C27" s="30" t="s">
        <v>154</v>
      </c>
      <c r="D27" s="9"/>
      <c r="E27" s="9"/>
      <c r="F27" s="9"/>
      <c r="G27" s="10"/>
    </row>
    <row r="28" ht="15.75" customHeight="1">
      <c r="A28" s="5"/>
      <c r="B28" s="33">
        <v>14.0</v>
      </c>
      <c r="C28" s="30" t="s">
        <v>158</v>
      </c>
      <c r="D28" s="9"/>
      <c r="E28" s="9"/>
      <c r="F28" s="9"/>
      <c r="G28" s="10"/>
    </row>
    <row r="29" ht="15.75" customHeight="1">
      <c r="A29" s="5"/>
      <c r="B29" s="33">
        <v>15.0</v>
      </c>
      <c r="C29" s="30" t="s">
        <v>162</v>
      </c>
      <c r="D29" s="9"/>
      <c r="E29" s="9"/>
      <c r="F29" s="9"/>
      <c r="G29" s="10"/>
    </row>
    <row r="30" ht="15.75" customHeight="1">
      <c r="A30" s="5"/>
      <c r="B30" s="33">
        <v>16.0</v>
      </c>
      <c r="C30" s="30" t="s">
        <v>151</v>
      </c>
      <c r="D30" s="9"/>
      <c r="E30" s="9"/>
      <c r="F30" s="9"/>
      <c r="G30" s="10"/>
    </row>
    <row r="31" ht="15.75" customHeight="1">
      <c r="A31" s="5"/>
      <c r="B31" s="5"/>
      <c r="C31" s="5"/>
      <c r="D31" s="5"/>
      <c r="E31" s="5"/>
      <c r="F31" s="5"/>
      <c r="G31" s="5"/>
    </row>
    <row r="32" ht="15.75" customHeight="1">
      <c r="A32" s="5"/>
      <c r="B32" s="5"/>
      <c r="C32" s="5"/>
      <c r="D32" s="5"/>
      <c r="E32" s="5"/>
      <c r="F32" s="5"/>
      <c r="G32" s="5"/>
    </row>
    <row r="33" ht="15.75" customHeight="1">
      <c r="A33" s="5"/>
      <c r="B33" s="14" t="s">
        <v>171</v>
      </c>
      <c r="C33" s="5"/>
      <c r="D33" s="5"/>
      <c r="E33" s="5"/>
      <c r="F33" s="5"/>
      <c r="G33" s="5"/>
    </row>
    <row r="34" ht="42.0" customHeight="1">
      <c r="A34" s="5"/>
      <c r="B34" s="16" t="s">
        <v>173</v>
      </c>
    </row>
    <row r="35" ht="15.75" customHeight="1">
      <c r="A35" s="5"/>
      <c r="B35" s="5"/>
      <c r="C35" s="5"/>
      <c r="D35" s="5"/>
      <c r="E35" s="5"/>
      <c r="F35" s="5"/>
      <c r="G35" s="5"/>
    </row>
    <row r="36" ht="36.75" customHeight="1">
      <c r="A36" s="5"/>
      <c r="B36" s="20" t="s">
        <v>176</v>
      </c>
      <c r="C36" s="11" t="s">
        <v>177</v>
      </c>
      <c r="D36" s="9"/>
      <c r="E36" s="9"/>
      <c r="F36" s="9"/>
      <c r="G36" s="10"/>
    </row>
    <row r="37" ht="28.5" customHeight="1">
      <c r="A37" s="5"/>
      <c r="B37" s="20" t="s">
        <v>180</v>
      </c>
      <c r="C37" s="11" t="s">
        <v>183</v>
      </c>
      <c r="D37" s="9"/>
      <c r="E37" s="9"/>
      <c r="F37" s="9"/>
      <c r="G37" s="10"/>
    </row>
    <row r="38" ht="38.25" customHeight="1">
      <c r="A38" s="5"/>
      <c r="B38" s="20" t="s">
        <v>186</v>
      </c>
      <c r="C38" s="34" t="s">
        <v>188</v>
      </c>
      <c r="D38" s="9"/>
      <c r="E38" s="9"/>
      <c r="F38" s="9"/>
      <c r="G38" s="10"/>
    </row>
    <row r="39" ht="15.75" customHeight="1">
      <c r="A39" s="5"/>
      <c r="B39" s="5"/>
      <c r="C39" s="5"/>
      <c r="D39" s="5"/>
      <c r="E39" s="5"/>
      <c r="F39" s="5"/>
      <c r="G39" s="5"/>
    </row>
    <row r="40" ht="15.75" customHeight="1">
      <c r="B40" s="27" t="s">
        <v>101</v>
      </c>
      <c r="C40" s="27" t="s">
        <v>197</v>
      </c>
      <c r="D40" s="9"/>
      <c r="E40" s="9"/>
      <c r="F40" s="9"/>
      <c r="G40" s="10"/>
    </row>
    <row r="41" ht="32.25" customHeight="1">
      <c r="B41" s="29">
        <v>1.0</v>
      </c>
      <c r="C41" s="30" t="s">
        <v>142</v>
      </c>
      <c r="D41" s="9"/>
      <c r="E41" s="9"/>
      <c r="F41" s="9"/>
      <c r="G41" s="10"/>
    </row>
    <row r="42" ht="15.75" customHeight="1">
      <c r="B42" s="29">
        <v>2.0</v>
      </c>
      <c r="C42" s="30" t="s">
        <v>161</v>
      </c>
      <c r="D42" s="9"/>
      <c r="E42" s="9"/>
      <c r="F42" s="9"/>
      <c r="G42" s="10"/>
    </row>
    <row r="43" ht="15.75" customHeight="1">
      <c r="B43" s="31">
        <v>3.0</v>
      </c>
      <c r="C43" s="30" t="s">
        <v>190</v>
      </c>
      <c r="D43" s="9"/>
      <c r="E43" s="9"/>
      <c r="F43" s="9"/>
      <c r="G43" s="10"/>
    </row>
    <row r="44" ht="15.75" customHeight="1">
      <c r="B44" s="31">
        <v>4.0</v>
      </c>
      <c r="C44" s="30" t="s">
        <v>157</v>
      </c>
      <c r="D44" s="9"/>
      <c r="E44" s="9"/>
      <c r="F44" s="9"/>
      <c r="G44" s="10"/>
    </row>
    <row r="45" ht="15.75" customHeight="1">
      <c r="B45" s="31">
        <v>5.0</v>
      </c>
      <c r="C45" s="30" t="s">
        <v>169</v>
      </c>
      <c r="D45" s="9"/>
      <c r="E45" s="9"/>
      <c r="F45" s="9"/>
      <c r="G45" s="10"/>
    </row>
    <row r="46" ht="15.75" customHeight="1">
      <c r="B46" s="31">
        <v>6.0</v>
      </c>
      <c r="C46" s="30" t="s">
        <v>193</v>
      </c>
      <c r="D46" s="9"/>
      <c r="E46" s="9"/>
      <c r="F46" s="9"/>
      <c r="G46" s="10"/>
    </row>
    <row r="47" ht="15.75" customHeight="1">
      <c r="B47" s="31">
        <v>7.0</v>
      </c>
      <c r="C47" s="30" t="s">
        <v>208</v>
      </c>
      <c r="D47" s="9"/>
      <c r="E47" s="9"/>
      <c r="F47" s="9"/>
      <c r="G47" s="10"/>
    </row>
    <row r="48" ht="15.75" customHeight="1">
      <c r="B48" s="31">
        <v>8.0</v>
      </c>
      <c r="C48" s="30" t="s">
        <v>209</v>
      </c>
      <c r="D48" s="9"/>
      <c r="E48" s="9"/>
      <c r="F48" s="9"/>
      <c r="G48" s="10"/>
    </row>
    <row r="49" ht="15.75" customHeight="1">
      <c r="B49" s="31">
        <v>9.0</v>
      </c>
      <c r="C49" s="30" t="s">
        <v>146</v>
      </c>
      <c r="D49" s="9"/>
      <c r="E49" s="9"/>
      <c r="F49" s="9"/>
      <c r="G49" s="10"/>
    </row>
    <row r="50" ht="15.75" customHeight="1">
      <c r="B50" s="31">
        <v>10.0</v>
      </c>
      <c r="C50" s="30" t="s">
        <v>205</v>
      </c>
      <c r="D50" s="9"/>
      <c r="E50" s="9"/>
      <c r="F50" s="9"/>
      <c r="G50" s="10"/>
    </row>
    <row r="51" ht="15.75" customHeight="1"/>
    <row r="52" ht="15.75" customHeight="1"/>
    <row r="53" ht="15.75" customHeight="1">
      <c r="B53" s="14" t="s">
        <v>210</v>
      </c>
    </row>
    <row r="54" ht="15.75" customHeight="1">
      <c r="B54" s="35" t="s">
        <v>211</v>
      </c>
    </row>
    <row r="55" ht="15.75" customHeight="1">
      <c r="B55" s="27" t="s">
        <v>101</v>
      </c>
      <c r="C55" s="27" t="s">
        <v>212</v>
      </c>
      <c r="D55" s="9"/>
      <c r="E55" s="9"/>
      <c r="F55" s="9"/>
      <c r="G55" s="10"/>
      <c r="H55" s="36" t="s">
        <v>213</v>
      </c>
    </row>
    <row r="56" ht="15.75" customHeight="1">
      <c r="B56" s="29">
        <v>1.0</v>
      </c>
      <c r="C56" s="30" t="s">
        <v>63</v>
      </c>
      <c r="D56" s="9"/>
      <c r="E56" s="9"/>
      <c r="F56" s="9"/>
      <c r="G56" s="10"/>
      <c r="H56" s="37" t="s">
        <v>214</v>
      </c>
    </row>
    <row r="57" ht="15.75" customHeight="1">
      <c r="B57" s="29">
        <v>2.0</v>
      </c>
      <c r="C57" s="30" t="s">
        <v>56</v>
      </c>
      <c r="D57" s="9"/>
      <c r="E57" s="9"/>
      <c r="F57" s="9"/>
      <c r="G57" s="10"/>
      <c r="H57" s="37" t="s">
        <v>215</v>
      </c>
    </row>
    <row r="58" ht="15.75" customHeight="1">
      <c r="B58" s="31">
        <v>3.0</v>
      </c>
      <c r="C58" s="30" t="s">
        <v>80</v>
      </c>
      <c r="D58" s="9"/>
      <c r="E58" s="9"/>
      <c r="F58" s="9"/>
      <c r="G58" s="10"/>
      <c r="H58" s="37" t="s">
        <v>216</v>
      </c>
    </row>
    <row r="59" ht="15.75" customHeight="1">
      <c r="B59" s="31">
        <v>4.0</v>
      </c>
      <c r="C59" s="19" t="s">
        <v>71</v>
      </c>
      <c r="H59" s="37" t="s">
        <v>217</v>
      </c>
    </row>
    <row r="60" ht="15.75" customHeight="1">
      <c r="B60" s="31">
        <v>5.0</v>
      </c>
      <c r="C60" s="30" t="s">
        <v>66</v>
      </c>
      <c r="D60" s="9"/>
      <c r="E60" s="9"/>
      <c r="F60" s="9"/>
      <c r="G60" s="10"/>
      <c r="H60" s="37" t="s">
        <v>218</v>
      </c>
    </row>
    <row r="61" ht="15.75" customHeight="1">
      <c r="B61" s="31">
        <v>6.0</v>
      </c>
      <c r="C61" s="30" t="s">
        <v>219</v>
      </c>
      <c r="D61" s="9"/>
      <c r="E61" s="9"/>
      <c r="F61" s="9"/>
      <c r="G61" s="10"/>
      <c r="H61" s="37" t="s">
        <v>220</v>
      </c>
    </row>
    <row r="62" ht="15.75" customHeight="1">
      <c r="B62" s="31">
        <v>7.0</v>
      </c>
      <c r="C62" s="30" t="s">
        <v>91</v>
      </c>
      <c r="D62" s="9"/>
      <c r="E62" s="9"/>
      <c r="F62" s="9"/>
      <c r="G62" s="10"/>
      <c r="H62" s="37" t="s">
        <v>221</v>
      </c>
    </row>
    <row r="63" ht="15.75" customHeight="1">
      <c r="B63" s="31">
        <v>8.0</v>
      </c>
      <c r="C63" s="30" t="s">
        <v>75</v>
      </c>
      <c r="D63" s="9"/>
      <c r="E63" s="9"/>
      <c r="F63" s="9"/>
      <c r="G63" s="10"/>
      <c r="H63" s="37" t="s">
        <v>222</v>
      </c>
    </row>
    <row r="64" ht="15.75" customHeight="1">
      <c r="B64" s="31">
        <v>9.0</v>
      </c>
      <c r="C64" s="30" t="s">
        <v>86</v>
      </c>
      <c r="D64" s="9"/>
      <c r="E64" s="9"/>
      <c r="F64" s="9"/>
      <c r="G64" s="10"/>
      <c r="H64" s="37" t="s">
        <v>223</v>
      </c>
    </row>
    <row r="65" ht="15.75" customHeight="1">
      <c r="B65" s="31">
        <v>10.0</v>
      </c>
      <c r="C65" s="30" t="s">
        <v>83</v>
      </c>
      <c r="D65" s="9"/>
      <c r="E65" s="9"/>
      <c r="F65" s="9"/>
      <c r="G65" s="10"/>
      <c r="H65" s="37" t="s">
        <v>224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51">
    <mergeCell ref="B1:G1"/>
    <mergeCell ref="C3:G3"/>
    <mergeCell ref="C4:G4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B34:G34"/>
    <mergeCell ref="C36:G36"/>
    <mergeCell ref="C37:G37"/>
    <mergeCell ref="C38:G38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5:G55"/>
    <mergeCell ref="C56:G56"/>
    <mergeCell ref="C64:G64"/>
    <mergeCell ref="C65:G65"/>
    <mergeCell ref="C57:G57"/>
    <mergeCell ref="C58:G58"/>
    <mergeCell ref="C59:G59"/>
    <mergeCell ref="C60:G60"/>
    <mergeCell ref="C61:G61"/>
    <mergeCell ref="C62:G62"/>
    <mergeCell ref="C63:G63"/>
  </mergeCells>
  <dataValidations>
    <dataValidation type="list" allowBlank="1" showErrorMessage="1" sqref="C3">
      <formula1>Metadata!$A$2:$A$81</formula1>
    </dataValidation>
  </dataValidations>
  <hyperlinks>
    <hyperlink r:id="rId1" ref="C12"/>
    <hyperlink r:id="rId2" ref="C38"/>
    <hyperlink r:id="rId3" ref="H56"/>
    <hyperlink r:id="rId4" ref="H57"/>
    <hyperlink r:id="rId5" ref="H58"/>
    <hyperlink r:id="rId6" ref="H59"/>
    <hyperlink r:id="rId7" ref="H60"/>
    <hyperlink r:id="rId8" ref="H61"/>
    <hyperlink r:id="rId9" ref="H62"/>
    <hyperlink r:id="rId10" ref="H63"/>
    <hyperlink r:id="rId11" ref="H64"/>
    <hyperlink r:id="rId12" ref="H65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4.38"/>
    <col customWidth="1" min="5" max="5" width="19.38"/>
    <col customWidth="1" min="6" max="6" width="25.13"/>
    <col customWidth="1" min="7" max="7" width="47.75"/>
  </cols>
  <sheetData>
    <row r="1">
      <c r="A1" s="5"/>
      <c r="B1" s="2" t="s">
        <v>1</v>
      </c>
      <c r="C1" s="4"/>
      <c r="D1" s="4"/>
      <c r="E1" s="4"/>
      <c r="F1" s="4"/>
      <c r="G1" s="6"/>
    </row>
    <row r="2">
      <c r="A2" s="15" t="str">
        <f>#REF!&amp;" - "&amp;C3</f>
        <v>#REF!</v>
      </c>
      <c r="B2" s="5"/>
      <c r="C2" s="5"/>
      <c r="D2" s="5"/>
      <c r="E2" s="5"/>
      <c r="F2" s="5"/>
      <c r="G2" s="5"/>
    </row>
    <row r="3">
      <c r="A3" s="5"/>
      <c r="B3" s="7" t="s">
        <v>7</v>
      </c>
      <c r="C3" s="8" t="str">
        <f>Refentes!C3</f>
        <v>285 - Sistemas Operativos 2</v>
      </c>
      <c r="D3" s="9"/>
      <c r="E3" s="9"/>
      <c r="F3" s="9"/>
      <c r="G3" s="10"/>
    </row>
    <row r="4">
      <c r="A4" s="5"/>
      <c r="B4" s="7" t="s">
        <v>23</v>
      </c>
      <c r="C4" s="12" t="str">
        <f>Refentes!C4</f>
        <v>Segundo Semestre 2026</v>
      </c>
      <c r="D4" s="9"/>
      <c r="E4" s="9"/>
      <c r="F4" s="9"/>
      <c r="G4" s="10"/>
    </row>
    <row r="5">
      <c r="A5" s="5"/>
      <c r="B5" s="22" t="s">
        <v>88</v>
      </c>
    </row>
    <row r="6">
      <c r="A6" s="5"/>
      <c r="B6" s="13" t="s">
        <v>33</v>
      </c>
    </row>
    <row r="7">
      <c r="A7" s="5"/>
      <c r="B7" s="24"/>
      <c r="C7" s="24"/>
      <c r="D7" s="24"/>
      <c r="E7" s="24"/>
      <c r="F7" s="24"/>
      <c r="G7" s="24"/>
    </row>
    <row r="8">
      <c r="A8" s="5"/>
      <c r="B8" s="24"/>
      <c r="C8" s="24"/>
      <c r="D8" s="24"/>
      <c r="E8" s="24"/>
      <c r="F8" s="26" t="s">
        <v>98</v>
      </c>
      <c r="G8" s="26" t="s">
        <v>104</v>
      </c>
    </row>
    <row r="9">
      <c r="A9" s="5"/>
      <c r="B9" s="28" t="s">
        <v>108</v>
      </c>
      <c r="C9" s="9"/>
      <c r="D9" s="9"/>
      <c r="E9" s="10"/>
      <c r="F9" s="20" t="str">
        <f>Refentes!C9</f>
        <v>Massachussetts Institute of Technology (MIT)</v>
      </c>
      <c r="G9" s="20" t="str">
        <f>Refentes!C36</f>
        <v>ACM/IEEE Computer Science Curricula (CS2023)</v>
      </c>
    </row>
    <row r="10">
      <c r="A10" s="5"/>
      <c r="B10" s="20" t="s">
        <v>122</v>
      </c>
      <c r="C10" s="20" t="s">
        <v>124</v>
      </c>
      <c r="D10" s="20" t="s">
        <v>127</v>
      </c>
      <c r="E10" s="20" t="s">
        <v>129</v>
      </c>
      <c r="F10" s="20" t="s">
        <v>131</v>
      </c>
      <c r="G10" s="20" t="s">
        <v>131</v>
      </c>
    </row>
    <row r="11" ht="72.75" customHeight="1">
      <c r="B11" s="32" t="s">
        <v>133</v>
      </c>
      <c r="C11" s="32" t="s">
        <v>135</v>
      </c>
      <c r="D11" s="32" t="s">
        <v>136</v>
      </c>
      <c r="E11" s="32" t="s">
        <v>137</v>
      </c>
      <c r="F11" s="21" t="s">
        <v>113</v>
      </c>
      <c r="G11" s="21" t="s">
        <v>142</v>
      </c>
    </row>
    <row r="12">
      <c r="B12" s="32" t="s">
        <v>133</v>
      </c>
      <c r="C12" s="32" t="s">
        <v>135</v>
      </c>
      <c r="D12" s="32" t="s">
        <v>144</v>
      </c>
      <c r="E12" s="32" t="s">
        <v>145</v>
      </c>
      <c r="F12" s="21" t="s">
        <v>118</v>
      </c>
      <c r="G12" s="21" t="s">
        <v>146</v>
      </c>
    </row>
    <row r="13">
      <c r="B13" s="32" t="s">
        <v>133</v>
      </c>
      <c r="C13" s="32" t="s">
        <v>135</v>
      </c>
      <c r="D13" s="32" t="s">
        <v>148</v>
      </c>
      <c r="E13" s="32" t="s">
        <v>149</v>
      </c>
      <c r="F13" s="21" t="s">
        <v>151</v>
      </c>
      <c r="G13" s="21" t="s">
        <v>146</v>
      </c>
    </row>
    <row r="14">
      <c r="B14" s="32" t="s">
        <v>152</v>
      </c>
      <c r="C14" s="32" t="s">
        <v>153</v>
      </c>
      <c r="D14" s="32" t="s">
        <v>155</v>
      </c>
      <c r="E14" s="32" t="s">
        <v>156</v>
      </c>
      <c r="F14" s="21" t="s">
        <v>132</v>
      </c>
      <c r="G14" s="21" t="s">
        <v>157</v>
      </c>
    </row>
    <row r="15">
      <c r="B15" s="32" t="s">
        <v>152</v>
      </c>
      <c r="C15" s="32" t="s">
        <v>153</v>
      </c>
      <c r="D15" s="32" t="s">
        <v>159</v>
      </c>
      <c r="E15" s="32" t="s">
        <v>160</v>
      </c>
      <c r="F15" s="21" t="s">
        <v>132</v>
      </c>
      <c r="G15" s="21" t="s">
        <v>161</v>
      </c>
    </row>
    <row r="16">
      <c r="B16" s="32" t="s">
        <v>152</v>
      </c>
      <c r="C16" s="32" t="s">
        <v>163</v>
      </c>
      <c r="D16" s="32" t="s">
        <v>164</v>
      </c>
      <c r="E16" s="32" t="s">
        <v>165</v>
      </c>
      <c r="F16" s="21" t="s">
        <v>139</v>
      </c>
      <c r="G16" s="21" t="s">
        <v>142</v>
      </c>
    </row>
    <row r="17">
      <c r="B17" s="32" t="s">
        <v>166</v>
      </c>
      <c r="C17" s="32" t="s">
        <v>163</v>
      </c>
      <c r="D17" s="32" t="s">
        <v>167</v>
      </c>
      <c r="E17" s="32" t="s">
        <v>168</v>
      </c>
      <c r="F17" s="21" t="s">
        <v>125</v>
      </c>
      <c r="G17" s="21" t="s">
        <v>169</v>
      </c>
    </row>
    <row r="18">
      <c r="B18" s="32" t="s">
        <v>166</v>
      </c>
      <c r="C18" s="32" t="s">
        <v>163</v>
      </c>
      <c r="D18" s="32" t="s">
        <v>170</v>
      </c>
      <c r="E18" s="32" t="s">
        <v>172</v>
      </c>
      <c r="F18" s="21" t="s">
        <v>125</v>
      </c>
      <c r="G18" s="21" t="s">
        <v>169</v>
      </c>
    </row>
    <row r="19">
      <c r="B19" s="32" t="s">
        <v>166</v>
      </c>
      <c r="C19" s="32" t="s">
        <v>163</v>
      </c>
      <c r="D19" s="32" t="s">
        <v>174</v>
      </c>
      <c r="E19" s="32" t="s">
        <v>175</v>
      </c>
      <c r="F19" s="21" t="s">
        <v>125</v>
      </c>
      <c r="G19" s="21" t="s">
        <v>169</v>
      </c>
    </row>
    <row r="20">
      <c r="B20" s="32" t="s">
        <v>166</v>
      </c>
      <c r="C20" s="32" t="s">
        <v>163</v>
      </c>
      <c r="D20" s="32" t="s">
        <v>178</v>
      </c>
      <c r="E20" s="32" t="s">
        <v>179</v>
      </c>
      <c r="F20" s="21" t="s">
        <v>113</v>
      </c>
      <c r="G20" s="21" t="s">
        <v>142</v>
      </c>
    </row>
    <row r="21">
      <c r="B21" s="32" t="s">
        <v>181</v>
      </c>
      <c r="C21" s="32" t="s">
        <v>182</v>
      </c>
      <c r="D21" s="32" t="s">
        <v>184</v>
      </c>
      <c r="E21" s="32" t="s">
        <v>185</v>
      </c>
      <c r="F21" s="21" t="s">
        <v>139</v>
      </c>
      <c r="G21" s="21" t="s">
        <v>142</v>
      </c>
    </row>
    <row r="22">
      <c r="B22" s="32" t="s">
        <v>181</v>
      </c>
      <c r="C22" s="32" t="s">
        <v>182</v>
      </c>
      <c r="D22" s="32" t="s">
        <v>187</v>
      </c>
      <c r="E22" s="32" t="s">
        <v>189</v>
      </c>
      <c r="F22" s="21" t="s">
        <v>138</v>
      </c>
      <c r="G22" s="21" t="s">
        <v>190</v>
      </c>
    </row>
    <row r="23">
      <c r="B23" s="32" t="s">
        <v>181</v>
      </c>
      <c r="C23" s="32" t="s">
        <v>182</v>
      </c>
      <c r="D23" s="32" t="s">
        <v>191</v>
      </c>
      <c r="E23" s="32" t="s">
        <v>192</v>
      </c>
      <c r="F23" s="21" t="s">
        <v>118</v>
      </c>
      <c r="G23" s="21" t="s">
        <v>193</v>
      </c>
    </row>
    <row r="24">
      <c r="B24" s="32" t="s">
        <v>181</v>
      </c>
      <c r="C24" s="32" t="s">
        <v>182</v>
      </c>
      <c r="D24" s="32" t="s">
        <v>194</v>
      </c>
      <c r="E24" s="32" t="s">
        <v>195</v>
      </c>
      <c r="F24" s="21" t="s">
        <v>132</v>
      </c>
      <c r="G24" s="21" t="s">
        <v>157</v>
      </c>
    </row>
    <row r="25">
      <c r="B25" s="32" t="s">
        <v>181</v>
      </c>
      <c r="C25" s="32" t="s">
        <v>182</v>
      </c>
      <c r="D25" s="32" t="s">
        <v>196</v>
      </c>
      <c r="E25" s="32" t="s">
        <v>198</v>
      </c>
      <c r="F25" s="21" t="s">
        <v>125</v>
      </c>
      <c r="G25" s="21" t="s">
        <v>193</v>
      </c>
    </row>
    <row r="26">
      <c r="B26" s="32" t="s">
        <v>181</v>
      </c>
      <c r="C26" s="32" t="s">
        <v>182</v>
      </c>
      <c r="D26" s="32" t="s">
        <v>199</v>
      </c>
      <c r="E26" s="32" t="s">
        <v>200</v>
      </c>
      <c r="F26" s="21" t="s">
        <v>118</v>
      </c>
      <c r="G26" s="21" t="s">
        <v>193</v>
      </c>
    </row>
    <row r="27">
      <c r="B27" s="32" t="s">
        <v>201</v>
      </c>
      <c r="C27" s="32" t="s">
        <v>202</v>
      </c>
      <c r="D27" s="32" t="s">
        <v>203</v>
      </c>
      <c r="E27" s="32" t="s">
        <v>204</v>
      </c>
      <c r="F27" s="21" t="s">
        <v>141</v>
      </c>
      <c r="G27" s="21" t="s">
        <v>205</v>
      </c>
    </row>
    <row r="28">
      <c r="B28" s="32" t="s">
        <v>201</v>
      </c>
      <c r="C28" s="32" t="s">
        <v>202</v>
      </c>
      <c r="D28" s="32" t="s">
        <v>206</v>
      </c>
      <c r="E28" s="32" t="s">
        <v>207</v>
      </c>
      <c r="F28" s="21" t="s">
        <v>141</v>
      </c>
      <c r="G28" s="21" t="s">
        <v>205</v>
      </c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F11:F28">
      <formula1>Refentes!$C$15:$G$30</formula1>
    </dataValidation>
    <dataValidation type="list" allowBlank="1" showErrorMessage="1" sqref="G11:G28">
      <formula1>Refentes!$C$41:$G$50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2" t="s">
        <v>1</v>
      </c>
      <c r="C1" s="4"/>
      <c r="D1" s="4"/>
      <c r="E1" s="4"/>
      <c r="F1" s="4"/>
      <c r="G1" s="6"/>
    </row>
    <row r="2">
      <c r="B2" s="5"/>
      <c r="C2" s="5"/>
      <c r="D2" s="5"/>
      <c r="E2" s="5"/>
      <c r="F2" s="5"/>
      <c r="G2" s="5"/>
    </row>
    <row r="3">
      <c r="B3" s="7" t="s">
        <v>7</v>
      </c>
      <c r="C3" s="8" t="str">
        <f>Refentes!C3</f>
        <v>285 - Sistemas Operativos 2</v>
      </c>
      <c r="D3" s="9"/>
      <c r="E3" s="9"/>
      <c r="F3" s="9"/>
      <c r="G3" s="10"/>
    </row>
    <row r="4">
      <c r="B4" s="7" t="s">
        <v>23</v>
      </c>
      <c r="C4" s="12" t="str">
        <f>Refentes!C4</f>
        <v>Segundo Semestre 2026</v>
      </c>
      <c r="D4" s="9"/>
      <c r="E4" s="9"/>
      <c r="F4" s="9"/>
      <c r="G4" s="10"/>
    </row>
    <row r="5">
      <c r="B5" s="13" t="s">
        <v>33</v>
      </c>
    </row>
    <row r="7">
      <c r="B7" s="17" t="s">
        <v>37</v>
      </c>
      <c r="E7" s="18" t="s">
        <v>45</v>
      </c>
    </row>
    <row r="8">
      <c r="B8" s="19" t="s">
        <v>48</v>
      </c>
      <c r="E8" s="21" t="s">
        <v>56</v>
      </c>
    </row>
    <row r="9">
      <c r="B9" s="19" t="s">
        <v>61</v>
      </c>
      <c r="E9" s="21" t="s">
        <v>63</v>
      </c>
    </row>
    <row r="10">
      <c r="B10" s="19" t="s">
        <v>64</v>
      </c>
      <c r="E10" s="21" t="s">
        <v>66</v>
      </c>
    </row>
    <row r="11">
      <c r="B11" s="19" t="s">
        <v>69</v>
      </c>
      <c r="E11" s="21" t="s">
        <v>71</v>
      </c>
    </row>
    <row r="12">
      <c r="B12" s="19" t="s">
        <v>72</v>
      </c>
      <c r="E12" s="21" t="s">
        <v>75</v>
      </c>
    </row>
    <row r="13">
      <c r="B13" s="19" t="s">
        <v>78</v>
      </c>
      <c r="E13" s="21" t="s">
        <v>80</v>
      </c>
    </row>
    <row r="14">
      <c r="B14" s="19" t="s">
        <v>81</v>
      </c>
      <c r="E14" s="21" t="s">
        <v>83</v>
      </c>
    </row>
    <row r="15">
      <c r="B15" s="19" t="s">
        <v>84</v>
      </c>
      <c r="E15" s="21" t="s">
        <v>86</v>
      </c>
    </row>
    <row r="16">
      <c r="B16" s="19" t="s">
        <v>89</v>
      </c>
      <c r="E16" s="21" t="s">
        <v>91</v>
      </c>
    </row>
    <row r="18">
      <c r="B18" s="23" t="s">
        <v>93</v>
      </c>
    </row>
  </sheetData>
  <mergeCells count="24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howErrorMessage="1" sqref="E8:E16">
      <formula1>Refentes!$C$56:$G$65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3</v>
      </c>
    </row>
    <row r="2">
      <c r="A2" s="5" t="s">
        <v>4</v>
      </c>
    </row>
    <row r="3">
      <c r="A3" s="5" t="s">
        <v>5</v>
      </c>
    </row>
    <row r="4">
      <c r="A4" s="5" t="s">
        <v>6</v>
      </c>
    </row>
    <row r="5">
      <c r="A5" s="5" t="s">
        <v>8</v>
      </c>
    </row>
    <row r="6">
      <c r="A6" s="5" t="s">
        <v>9</v>
      </c>
    </row>
    <row r="7">
      <c r="A7" s="5" t="s">
        <v>10</v>
      </c>
    </row>
    <row r="8">
      <c r="A8" s="5" t="s">
        <v>11</v>
      </c>
    </row>
    <row r="9">
      <c r="A9" s="5" t="s">
        <v>12</v>
      </c>
    </row>
    <row r="10">
      <c r="A10" s="5" t="s">
        <v>13</v>
      </c>
    </row>
    <row r="11">
      <c r="A11" s="5" t="s">
        <v>14</v>
      </c>
    </row>
    <row r="12">
      <c r="A12" s="5" t="s">
        <v>15</v>
      </c>
    </row>
    <row r="13">
      <c r="A13" s="5" t="s">
        <v>16</v>
      </c>
    </row>
    <row r="14">
      <c r="A14" s="5" t="s">
        <v>17</v>
      </c>
    </row>
    <row r="15">
      <c r="A15" s="5" t="s">
        <v>18</v>
      </c>
    </row>
    <row r="16">
      <c r="A16" s="5" t="s">
        <v>19</v>
      </c>
    </row>
    <row r="17">
      <c r="A17" s="5" t="s">
        <v>20</v>
      </c>
    </row>
    <row r="18">
      <c r="A18" s="5" t="s">
        <v>22</v>
      </c>
    </row>
    <row r="19">
      <c r="A19" s="5" t="s">
        <v>24</v>
      </c>
    </row>
    <row r="20">
      <c r="A20" s="5" t="s">
        <v>25</v>
      </c>
    </row>
    <row r="21">
      <c r="A21" s="5" t="s">
        <v>26</v>
      </c>
    </row>
    <row r="22">
      <c r="A22" s="5" t="s">
        <v>27</v>
      </c>
    </row>
    <row r="23">
      <c r="A23" s="5" t="s">
        <v>28</v>
      </c>
    </row>
    <row r="24">
      <c r="A24" s="5" t="s">
        <v>30</v>
      </c>
    </row>
    <row r="25">
      <c r="A25" s="5" t="s">
        <v>31</v>
      </c>
    </row>
    <row r="26">
      <c r="A26" s="5" t="s">
        <v>32</v>
      </c>
    </row>
    <row r="27">
      <c r="A27" s="5" t="s">
        <v>34</v>
      </c>
    </row>
    <row r="28">
      <c r="A28" s="5" t="s">
        <v>35</v>
      </c>
    </row>
    <row r="29">
      <c r="A29" s="5" t="s">
        <v>38</v>
      </c>
    </row>
    <row r="30">
      <c r="A30" s="5" t="s">
        <v>39</v>
      </c>
    </row>
    <row r="31">
      <c r="A31" s="5" t="s">
        <v>40</v>
      </c>
    </row>
    <row r="32">
      <c r="A32" s="5" t="s">
        <v>42</v>
      </c>
    </row>
    <row r="33">
      <c r="A33" s="5" t="s">
        <v>43</v>
      </c>
    </row>
    <row r="34">
      <c r="A34" s="5" t="s">
        <v>44</v>
      </c>
    </row>
    <row r="35">
      <c r="A35" s="5" t="s">
        <v>46</v>
      </c>
    </row>
    <row r="36">
      <c r="A36" s="5" t="s">
        <v>47</v>
      </c>
    </row>
    <row r="37">
      <c r="A37" s="5" t="s">
        <v>49</v>
      </c>
    </row>
    <row r="38">
      <c r="A38" s="5" t="s">
        <v>51</v>
      </c>
    </row>
    <row r="39">
      <c r="A39" s="5" t="s">
        <v>53</v>
      </c>
    </row>
    <row r="40">
      <c r="A40" s="5" t="s">
        <v>54</v>
      </c>
    </row>
    <row r="41">
      <c r="A41" s="5" t="s">
        <v>55</v>
      </c>
    </row>
    <row r="42">
      <c r="A42" s="5" t="s">
        <v>58</v>
      </c>
    </row>
    <row r="43">
      <c r="A43" s="5" t="s">
        <v>60</v>
      </c>
    </row>
    <row r="44">
      <c r="A44" s="5" t="s">
        <v>62</v>
      </c>
    </row>
    <row r="45">
      <c r="A45" s="5" t="s">
        <v>65</v>
      </c>
    </row>
    <row r="46">
      <c r="A46" s="5" t="s">
        <v>68</v>
      </c>
    </row>
    <row r="47">
      <c r="A47" s="5" t="s">
        <v>70</v>
      </c>
    </row>
    <row r="48">
      <c r="A48" s="5" t="s">
        <v>73</v>
      </c>
    </row>
    <row r="49">
      <c r="A49" s="5" t="s">
        <v>76</v>
      </c>
    </row>
    <row r="50">
      <c r="A50" s="5" t="s">
        <v>79</v>
      </c>
    </row>
    <row r="51">
      <c r="A51" s="5" t="s">
        <v>82</v>
      </c>
    </row>
    <row r="52">
      <c r="A52" s="5" t="s">
        <v>21</v>
      </c>
    </row>
    <row r="53">
      <c r="A53" s="5" t="s">
        <v>85</v>
      </c>
    </row>
    <row r="54">
      <c r="A54" s="5" t="s">
        <v>87</v>
      </c>
    </row>
    <row r="55">
      <c r="A55" s="5" t="s">
        <v>90</v>
      </c>
    </row>
    <row r="56">
      <c r="A56" s="5" t="s">
        <v>92</v>
      </c>
    </row>
    <row r="57">
      <c r="A57" s="5" t="s">
        <v>94</v>
      </c>
    </row>
    <row r="58">
      <c r="A58" s="5" t="s">
        <v>95</v>
      </c>
    </row>
    <row r="59">
      <c r="A59" s="5" t="s">
        <v>96</v>
      </c>
    </row>
    <row r="60">
      <c r="A60" s="5" t="s">
        <v>97</v>
      </c>
    </row>
    <row r="61">
      <c r="A61" s="5" t="s">
        <v>99</v>
      </c>
    </row>
    <row r="62">
      <c r="A62" s="5" t="s">
        <v>100</v>
      </c>
    </row>
    <row r="63">
      <c r="A63" s="5" t="s">
        <v>102</v>
      </c>
    </row>
    <row r="64">
      <c r="A64" s="5" t="s">
        <v>103</v>
      </c>
    </row>
    <row r="65">
      <c r="A65" s="5" t="s">
        <v>105</v>
      </c>
    </row>
    <row r="66">
      <c r="A66" s="5" t="s">
        <v>107</v>
      </c>
    </row>
    <row r="67">
      <c r="A67" s="5" t="s">
        <v>109</v>
      </c>
    </row>
    <row r="68">
      <c r="A68" s="5" t="s">
        <v>110</v>
      </c>
    </row>
    <row r="69">
      <c r="A69" s="5" t="s">
        <v>111</v>
      </c>
    </row>
    <row r="70">
      <c r="A70" s="5" t="s">
        <v>112</v>
      </c>
    </row>
    <row r="71">
      <c r="A71" s="5" t="s">
        <v>114</v>
      </c>
    </row>
    <row r="72">
      <c r="A72" s="5" t="s">
        <v>115</v>
      </c>
    </row>
    <row r="73">
      <c r="A73" s="5" t="s">
        <v>116</v>
      </c>
    </row>
    <row r="74">
      <c r="A74" s="5" t="s">
        <v>117</v>
      </c>
    </row>
    <row r="75">
      <c r="A75" s="5" t="s">
        <v>119</v>
      </c>
    </row>
    <row r="76">
      <c r="A76" s="5" t="s">
        <v>120</v>
      </c>
    </row>
    <row r="77">
      <c r="A77" s="5" t="s">
        <v>121</v>
      </c>
    </row>
    <row r="78">
      <c r="A78" s="5" t="s">
        <v>123</v>
      </c>
    </row>
    <row r="79">
      <c r="A79" s="5" t="s">
        <v>126</v>
      </c>
    </row>
    <row r="80">
      <c r="A80" s="5" t="s">
        <v>128</v>
      </c>
    </row>
    <row r="81">
      <c r="A81" s="5" t="s">
        <v>130</v>
      </c>
    </row>
  </sheetData>
  <drawing r:id="rId1"/>
</worksheet>
</file>