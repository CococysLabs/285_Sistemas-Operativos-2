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<sst xmlns="http://schemas.openxmlformats.org/spreadsheetml/2006/main" count="1519" uniqueCount="491">
  <si>
    <t>Competencias que se formaran en el Segundo Semestre 2026</t>
  </si>
  <si>
    <t xml:space="preserve">Resumen de Ponderacion y Horas </t>
  </si>
  <si>
    <t>Curso</t>
  </si>
  <si>
    <t>Diseño de Contenido Curricular</t>
  </si>
  <si>
    <t>285 - Sistemas Operativos 2</t>
  </si>
  <si>
    <t>Semestre que aplica</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</si>
  <si>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</si>
  <si>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</si>
  <si>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</si>
  <si>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</si>
  <si>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</si>
  <si>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</si>
  <si>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Competencias relacionadas al perfil del egresado (Especifica)</t>
  </si>
  <si>
    <t>No.</t>
  </si>
  <si>
    <t>Ponderacion</t>
  </si>
  <si>
    <t>Horas utilizadas</t>
  </si>
  <si>
    <t>Aspectos clave que debe abordar</t>
  </si>
  <si>
    <t>Semana</t>
  </si>
  <si>
    <t>Competencias relacionadas al perfil del egresado (General)</t>
  </si>
  <si>
    <t>Competencia</t>
  </si>
  <si>
    <t>Aplica los conocimientos de su disciplina en la elaboración, fundamentación
 y defensa de argumentos para prevenir y resolver problemas complejos en
 su campo profesional, identificando y aplicando innovaciones.</t>
  </si>
  <si>
    <t>Tiempo</t>
  </si>
  <si>
    <t>Valor Maximo Recomendado</t>
  </si>
  <si>
    <t>Nombre de la Unidad</t>
  </si>
  <si>
    <t>Tema</t>
  </si>
  <si>
    <t>Subtema</t>
  </si>
  <si>
    <t>Mes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</si>
  <si>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</si>
  <si>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Actividades durante el peridodo de laboratorio</t>
  </si>
  <si>
    <t xml:space="preserve">El estudiante describe la arquitectura y los componentes fundamentales de un Sistema Operativo analizando la separación entre el espacio de usuario y el espacio de kernel para establecer las bases conceptuales necesarias para la modificación del sistema. </t>
  </si>
  <si>
    <t xml:space="preserve">1. Bienvenida y Presentación                                   </t>
  </si>
  <si>
    <t>Actualiza permanente sus conocimientos relacionados con TIC en general,
 apoyándose en las estrategias de aprendizaje apropiadas.</t>
  </si>
  <si>
    <t>Demuestra destreza y habilidad en la selección, uso y adaptación de
 herramientas metodológicas, tecnológicas, equipos especializados y en la
 lectura e interpretación de datos, pertinentes al contexto de su ejercicio
 profesional.</t>
  </si>
  <si>
    <t>Tiempo Aproximado</t>
  </si>
  <si>
    <t>Julio</t>
  </si>
  <si>
    <t>Aplica principios básicos de ingeniería, ciencias de computación y sistemas
 de información y comunicación, en la formulación y resolución adecuada de
 problemas complejos.</t>
  </si>
  <si>
    <t>Toma decisiones profesionales con base en fundamentos teóricos, datos e
 información pertinente, válida y confiable.</t>
  </si>
  <si>
    <t>Aplica estándares de calidad, eficiencia y seguridad en la implementación
 adecuada de soluciones de software, hardware y TIC en general.</t>
  </si>
  <si>
    <t>Introducción a los Sistemas Operativos y el Kernel</t>
  </si>
  <si>
    <t>Fundamentos de Sistemas Operativos</t>
  </si>
  <si>
    <t>Gestión de recursos de hardware (CPU, Memoria, Almacenamiento).</t>
  </si>
  <si>
    <t>Tipos de sistemas operativos: por lotes, multiprogramados, multiprocesamiento, multitarea, de red y distribuidos.</t>
  </si>
  <si>
    <t>Ecosistema GNU/Linux</t>
  </si>
  <si>
    <t>Filosofía de software libre y código abierto.</t>
  </si>
  <si>
    <t>Diferencia entre el kernel de Linux y el sistema operativo GNU.</t>
  </si>
  <si>
    <t>No puedes excederte mas de 15 minutos</t>
  </si>
  <si>
    <t>Arquitectura del Kernel</t>
  </si>
  <si>
    <t>Estructura del código fuente del kernel.</t>
  </si>
  <si>
    <t>No</t>
  </si>
  <si>
    <t>Escribir y compilar módulos del kernel (LKM).</t>
  </si>
  <si>
    <t>Carga y descarga de módulos dinámicos.</t>
  </si>
  <si>
    <t xml:space="preserve">El estudiante implementa nuevas llamadas al sistema (syscalls) y servicios personalizados dentro del núcleo, aplicando buenas prácticas de seguridad mediante la modificación del código fuente del kernel de Linux, la creación de módulos y el uso seguro de copy_from_user / copy_to_user para prevenir buffer overflows y escaladas de privilegios para extender la funcionalidad del sistema operativo permitiendo una comunicación eficiente y segura entre el espacio de usuario y el espacio de kernel. </t>
  </si>
  <si>
    <t>Personalización del Kernel y Llamadas al Sistema</t>
  </si>
  <si>
    <t>Gestión Avanzada del Kernel</t>
  </si>
  <si>
    <t>Obtención y configuración del código fuente.</t>
  </si>
  <si>
    <t>Proceso de personalización, compilación e instalación.</t>
  </si>
  <si>
    <t>Depuración y prueba de versiones personalizadas del kernel.</t>
  </si>
  <si>
    <t>Llamadas al Sistema (Syscalls)</t>
  </si>
  <si>
    <t>Definición y función de la interfaz entre usuario y kernel.</t>
  </si>
  <si>
    <t>Flujo de ejecución de una llamada al sistema.</t>
  </si>
  <si>
    <t xml:space="preserve">Nombre y Formacion Academica </t>
  </si>
  <si>
    <t>Llamadas comunes para gestión de procesos: fork(), exec(), wait() y exit().</t>
  </si>
  <si>
    <t>Metodología para el desarrollo e implementación de nuevas syscalls.</t>
  </si>
  <si>
    <t xml:space="preserve">El estudiante analiza la asignación de memoria física y lógica junto con el mapeo de direcciones en el sistema mediante el empleo de la MMU, tablas de páginas y algoritmos de reemplazo como FIFO o LRU para garantizar el aislamiento de procesos, prevenir la fragmentación y minimizar los fallos de página. </t>
  </si>
  <si>
    <t>Gestión de Procesos</t>
  </si>
  <si>
    <t>Definición y Características de Procesos</t>
  </si>
  <si>
    <t>Diferencia entre un programa y un proceso en ejecución.</t>
  </si>
  <si>
    <t>Agosto</t>
  </si>
  <si>
    <t>Tipo</t>
  </si>
  <si>
    <t>Verbo en Presente</t>
  </si>
  <si>
    <t>Objeto de la acción</t>
  </si>
  <si>
    <t>Identificadores de proceso: PID, PPID, UID y GID.</t>
  </si>
  <si>
    <t>Aislamiento y espacio de direcciones independiente.</t>
  </si>
  <si>
    <t>Estructura Interna del Proceso</t>
  </si>
  <si>
    <t>Secciones de memoria: Pila (stack), Montón (heap), Código (text) y Datos (data).</t>
  </si>
  <si>
    <t>Ciclo de Vida y Estados</t>
  </si>
  <si>
    <t>Estados del proceso: Nuevo, Listo, Ejecución (Modo usuario/kernel), Espera, Detenido y Zombi.</t>
  </si>
  <si>
    <t>Gestión de transiciones de estado por el sistema operativo.</t>
  </si>
  <si>
    <t>Bloque de Control de Procesos (PCB)</t>
  </si>
  <si>
    <t>La estructura task_struct en el kernel de Linux.</t>
  </si>
  <si>
    <t>Almacenamiento de registros, información de memoria y recursos asociados.</t>
  </si>
  <si>
    <t xml:space="preserve">El estudiante desarrolla aplicaciones multihilo que gestionan de forma segura el acceso a recursos compartidos mediante la implementación de la API de PThreads y el uso de primitivas de sincronización como mutexes y semáforos para evitar condiciones de carrera, asegurar la consistencia de datos y prevenir interbloqueos (deadlocks). </t>
  </si>
  <si>
    <t>Hilos (Threads) y Concurrencia</t>
  </si>
  <si>
    <t>Fundamentos de Hilos</t>
  </si>
  <si>
    <t>Definición de hilos como unidades mínimas de ejecución.</t>
  </si>
  <si>
    <t>Compartición de recursos dentro de un mismo proceso (memoria y archivos).</t>
  </si>
  <si>
    <t>Explicar en que semestre me encuentro, que cursos llevo</t>
  </si>
  <si>
    <t>Ejecución Multitarea</t>
  </si>
  <si>
    <t>Concurrencia: Intercalación de tareas para simular simultaneidad.</t>
  </si>
  <si>
    <t>Paralelismo: Ejecución física simultánea en múltiples núcleos o procesadores.</t>
  </si>
  <si>
    <t>Implementación y Gestión de Hilos</t>
  </si>
  <si>
    <t>Creación, gestión y terminación de subprocesos.</t>
  </si>
  <si>
    <t>Uso de la biblioteca estándar PThreads.</t>
  </si>
  <si>
    <t>Tipos de hilos: Nivel de Usuario vs. Nivel de Kernel.</t>
  </si>
  <si>
    <t>Consideraciones de diseño: compatibilidad y eficiencia.</t>
  </si>
  <si>
    <t>[Palabras conectoreas] Herramientas o metodología</t>
  </si>
  <si>
    <t>Sincronización de Procesos</t>
  </si>
  <si>
    <t>Cooperación entre Procesos</t>
  </si>
  <si>
    <t>Problemas derivados del acceso a recursos compartidos.</t>
  </si>
  <si>
    <t>Condiciones de carrera (Race Conditions).</t>
  </si>
  <si>
    <t>Proyectos</t>
  </si>
  <si>
    <t>La Sección Crítica</t>
  </si>
  <si>
    <t>Identificación de segmentos de código sensibles.</t>
  </si>
  <si>
    <t>Requisitos para la solución de exclusión mutua: Progreso y espera limitada.</t>
  </si>
  <si>
    <t>Mecanismos de Sincronización</t>
  </si>
  <si>
    <t>Semáforos: Operaciones atómicas wait y signal.</t>
  </si>
  <si>
    <t>Mutexes: Bloqueos binarios para la exclusión mutua.</t>
  </si>
  <si>
    <t>Gestión de Fallos de Sincronización</t>
  </si>
  <si>
    <t>Detección de interbloqueos (Deadlocks).</t>
  </si>
  <si>
    <t xml:space="preserve">Experiencia docente y profecional </t>
  </si>
  <si>
    <t>[Palabras conectoreas] Condiciones específicas</t>
  </si>
  <si>
    <t>Estrategias de prevención y recuperación de errores en sistemas concurrentes.</t>
  </si>
  <si>
    <t>Explicar cuantos semestres de auxiliatura llevo, si tengo alguna otra experiencia enseñando o trabajando en mi area</t>
  </si>
  <si>
    <t>Nivel</t>
  </si>
  <si>
    <t>(Proyecto único)</t>
  </si>
  <si>
    <t>Rol del auxiliar dentro del curso (funciones, actividades y apoyo a los estudiantes).</t>
  </si>
  <si>
    <t>General</t>
  </si>
  <si>
    <t>Explicar mi rol, que hare durante el semestre, como contactarme, como resolver dudas</t>
  </si>
  <si>
    <t>Expectativas sobre la dinámica del curso</t>
  </si>
  <si>
    <t>Explicar que se aprendera en el curso</t>
  </si>
  <si>
    <t xml:space="preserve">Tiempo que emplearas </t>
  </si>
  <si>
    <t>Gestión de Memoria</t>
  </si>
  <si>
    <t>Prácticas</t>
  </si>
  <si>
    <t>El estudiante describe</t>
  </si>
  <si>
    <t>Memoria Virtual</t>
  </si>
  <si>
    <t>Algoritmos de reemplazo de páginas: FIFO, LRU y Óptimo — análisis comparativo.</t>
  </si>
  <si>
    <t>Septiembre</t>
  </si>
  <si>
    <t xml:space="preserve">2. Evaluación de Conocimientos Previos                             </t>
  </si>
  <si>
    <t>(4 prácticas)</t>
  </si>
  <si>
    <t>Tareas</t>
  </si>
  <si>
    <t>la arquitectura y los componentes fundamentales de un Sistema Operativo</t>
  </si>
  <si>
    <t>Paginación bajo demanda y manejo de fallos de página (page fault).</t>
  </si>
  <si>
    <t>Fragmentación</t>
  </si>
  <si>
    <t>Fragmentación interna y externa: impacto en rendimiento y estrategias de mitigación.</t>
  </si>
  <si>
    <t>Traducción de Direcciones</t>
  </si>
  <si>
    <t>MMU y tablas de páginas multinivel: traducción de direcciones virtuales a físicas.</t>
  </si>
  <si>
    <t>Aislamiento de Procesos</t>
  </si>
  <si>
    <t>Aislamiento mediante espacios de direcciones virtuales independientes.</t>
  </si>
  <si>
    <t>No puedes excederte mas de 45 minutos</t>
  </si>
  <si>
    <t>Modelos de Memoria</t>
  </si>
  <si>
    <t>Segmentación vs. paginación: comparativa y uso en sistemas modernos.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</si>
  <si>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</si>
  <si>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 xml:space="preserve">El estudiante crea módulos de monitoreo del sistema mediante la lectura e interpretación de estructuras internas del kernel para extraer y exponer métricas de rendimiento como uso de CPU, memoria y procesos activos en tiempo real </t>
  </si>
  <si>
    <t>Monitoreo del Sistema</t>
  </si>
  <si>
    <t>Introducción al Monitoreo</t>
  </si>
  <si>
    <t>Métricas clave de rendimiento: CPU, memoria, procesos.</t>
  </si>
  <si>
    <t>Redactaras de 15 a 20 preguntas con sus respectivas respuestas , por lo que debes escoge los temas que evaluaras</t>
  </si>
  <si>
    <t>https://create.kahoot.it/details/diagnostico-conocimientos-previos-2026/f13fafb9-0a1d-4e66-8192-1694223750f4?drawer=</t>
  </si>
  <si>
    <t>Métricas de CPU</t>
  </si>
  <si>
    <t>Estructuras internas del kernel: jiffies y kstat para obtener uso de CPU.</t>
  </si>
  <si>
    <t>Métricas de Memoria</t>
  </si>
  <si>
    <t>Extracción de uso de memoria: MemTotal, MemFree, Buffers y Cached.</t>
  </si>
  <si>
    <t>Listado de Procesos</t>
  </si>
  <si>
    <t>Iteración de procesos activos con for_each_process y task_struct.</t>
  </si>
  <si>
    <t>Sistema de Archivos /proc</t>
  </si>
  <si>
    <t>Exportación de métricas del kernel a través del sistema de archivos virtual /proc.</t>
  </si>
  <si>
    <t>Comparativa de Interfaces</t>
  </si>
  <si>
    <t>Syscalls personalizadas vs. /proc: ventajas, limitaciones y casos de uso.</t>
  </si>
  <si>
    <t xml:space="preserve">El estudiante diseña aplicaciones en espacio de usuario integrando llamadas al sistema y el sistema de archivos /proc para generar comunicación eficiente entre el kernel y los procesos de usuario expandiendo las capacidades del sistema operativo </t>
  </si>
  <si>
    <t>Comunicación Kernel-Usuario</t>
  </si>
  <si>
    <t>Fundamentos, estructura interna y navegación del sistema /proc.</t>
  </si>
  <si>
    <t>Octubre</t>
  </si>
  <si>
    <t>Entradas /proc Personalizadas</t>
  </si>
  <si>
    <t>Creación de entradas /proc con la seq_file API.</t>
  </si>
  <si>
    <t>Comunicación Bidireccional</t>
  </si>
  <si>
    <t>Lectura y escritura en /proc para comunicación bidireccional con el kernel.</t>
  </si>
  <si>
    <t>Netlink Sockets</t>
  </si>
  <si>
    <t>Comunicación asíncrona entre el kernel y el espacio de usuario con Netlink.</t>
  </si>
  <si>
    <t>Diseño de Aplicaciones</t>
  </si>
  <si>
    <t>Diseño de un daemon de usuario que consuma métricas del kernel en tiempo real.</t>
  </si>
  <si>
    <t>Integración de Fuentes</t>
  </si>
  <si>
    <t>Integración de múltiples fuentes de datos del kernel en una aplicación de usuario.</t>
  </si>
  <si>
    <t>Seguridad en el Kernel y Syscalls</t>
  </si>
  <si>
    <t>Superficie de Ataque</t>
  </si>
  <si>
    <t>Vectores comunes y vulnerabilidades históricas del kernel (CVEs relevantes).</t>
  </si>
  <si>
    <t>Buffer Overflow en Kernel</t>
  </si>
  <si>
    <t>Análisis, demostración controlada y técnicas de mitigación de buffer overflows en módulos.</t>
  </si>
  <si>
    <t>Escalada de Privilegios</t>
  </si>
  <si>
    <t>Explotación de privilege escalation desde espacio de usuario y contramedidas en el kernel.</t>
  </si>
  <si>
    <t>Desarrollo Seguro de Syscalls</t>
  </si>
  <si>
    <t>Uso obligatorio de copy_from_user / copy_to_user y validación estricta de parámetros.</t>
  </si>
  <si>
    <t>Mecanismos de Protección del SO</t>
  </si>
  <si>
    <t>SELinux, AppArmor, cgroups y namespaces: configuración y casos de uso.</t>
  </si>
  <si>
    <t>analizando la separación entre el espacio de usuario y el espacio de kernel</t>
  </si>
  <si>
    <t>Auditoría del Kernel</t>
  </si>
  <si>
    <t>Detección de anomalías y trazado de syscalls con auditd y eBPF.</t>
  </si>
  <si>
    <t>Redactaras una parte practica para realizar la evaluacion de conocimientos previos</t>
  </si>
  <si>
    <t>Se realizaran ejemplos guiados durante las clases y se dejaran practicas que permitan progresivamente preparlos para el proyecto</t>
  </si>
  <si>
    <t xml:space="preserve">El estudiante evalúa las capacidades, limitaciones y características de seguridad de distintos sistemas operativos mediante la identificación de sus fortalezas, vulnerabilidades conocidas y mecanismos de protección (SELinux, AppArmor, namespaces) para seleccionarlos y aplicarlos estratégicamente, considerando criterios de seguridad, en proyectos y tareas profesionales. </t>
  </si>
  <si>
    <t>Evaluación y Tendencias de Sistemas Operativos</t>
  </si>
  <si>
    <t>Arquitecturas de Kernel</t>
  </si>
  <si>
    <t>Comparativa: monolítica, microkernel e híbrida — pros, contras y ejemplos.</t>
  </si>
  <si>
    <t>Noviembre</t>
  </si>
  <si>
    <t>Casos de Uso Reales</t>
  </si>
  <si>
    <t>Linux, Windows NT y macOS XNU: fortalezas, limitaciones y postura de seguridad.</t>
  </si>
  <si>
    <t>Sistemas en Tiempo Real</t>
  </si>
  <si>
    <t>RTOS: características, ventajas y aplicaciones industriales y embebidas.</t>
  </si>
  <si>
    <t>Virtualización Ligera</t>
  </si>
  <si>
    <t>Contenedores (Docker, LXC) e impacto en el rol del SO moderno.</t>
  </si>
  <si>
    <t>Tendencias Emergentes</t>
  </si>
  <si>
    <t>Unikernels, SO en la nube y SO seguros por diseño (Qubes OS, seL4).</t>
  </si>
  <si>
    <t xml:space="preserve">3. Presentación de los Estudiantes                                </t>
  </si>
  <si>
    <t>(3 tareas)</t>
  </si>
  <si>
    <t>Criterios de Selección</t>
  </si>
  <si>
    <t>Rendimiento, seguridad y mantenibilidad como ejes para elegir un SO en proyectos de ingeniería.</t>
  </si>
  <si>
    <t>para establecer las bases conceptuales necesarias para la modificación del sistema.</t>
  </si>
  <si>
    <t xml:space="preserve">No puedes excederte mas de 30 minutos </t>
  </si>
  <si>
    <t>Seleccion al Azar de 5 Estudiantes</t>
  </si>
  <si>
    <t>Se dara oportunidad de presentarse voluntariamente o se escogera al azar en base a la lista de conectados de meet</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</si>
  <si>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</si>
  <si>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</si>
  <si>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Cual es su nombre, si tienen alguna experiencia laborar, y su expectativa o idea de lo que tratara el curso</t>
  </si>
  <si>
    <t>Total</t>
  </si>
  <si>
    <t xml:space="preserve">4.  Senso de Horarios de Calificación                                  </t>
  </si>
  <si>
    <t>Recordar</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</si>
  <si>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</si>
  <si>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</si>
  <si>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</si>
  <si>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https://forms.gle/8tLjYX5xEFWWcoKBA</t>
  </si>
  <si>
    <t>Validacion</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</si>
  <si>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</si>
  <si>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</si>
  <si>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Lunes, Martes, Miercoles, Jueves, Viernes y Sábado, de 7:00 hrs a 17:00 hrs</t>
  </si>
  <si>
    <t xml:space="preserve">5.  Mostrar Programa del Curso                 </t>
  </si>
  <si>
    <t>No puedes excederte mas de 30 minutos</t>
  </si>
  <si>
    <t xml:space="preserve">6. Evaluación de Conocimientos del Curso Actual                                  </t>
  </si>
  <si>
    <t xml:space="preserve">Redactaras 20 preguntas con sus respectivas respuestas </t>
  </si>
  <si>
    <t>https://create.kahoot.it/details/diagnostico-conocimientos-nuevos-2026/8e029290-68cc-4c5a-8244-75521d44627a?drawer=</t>
  </si>
  <si>
    <t>Especifica</t>
  </si>
  <si>
    <t>El estudiante crea</t>
  </si>
  <si>
    <t>módulos de monitoreo del sistema</t>
  </si>
  <si>
    <t>mediante la lectura e interpretación de estructuras internas del kernel</t>
  </si>
  <si>
    <t>para extraer y exponer métricas de rendimiento como uso de CPU, memoria y procesos activos en tiempo real</t>
  </si>
  <si>
    <t>Crear</t>
  </si>
  <si>
    <t>El estudiante desarrolla</t>
  </si>
  <si>
    <t>aplicaciones multihilo que gestionan de forma segura el acceso a recursos compartidos</t>
  </si>
  <si>
    <t>mediante la implementación de la API de PThreads y el uso de primitivas de sincronización como mutexes y semáforos</t>
  </si>
  <si>
    <t>para evitar condiciones de carrera, asegurar la consistencia de datos y prevenir interbloqueos (deadlocks).</t>
  </si>
  <si>
    <t>Aplicar</t>
  </si>
  <si>
    <t>El estudiante analiza</t>
  </si>
  <si>
    <t>la asignación de memoria física y lógica junto con el mapeo de direcciones en el sistema</t>
  </si>
  <si>
    <t>mediante el empleo de la MMU, tablas de páginas y algoritmos de reemplazo como FIFO o LRU</t>
  </si>
  <si>
    <t>para garantizar el aislamiento de procesos, prevenir la fragmentación y minimizar los fallos de página.</t>
  </si>
  <si>
    <t>Analizar</t>
  </si>
  <si>
    <t>El estudiante evalúa</t>
  </si>
  <si>
    <t>las capacidades, limitaciones y características de seguridad de distintos sistemas operativos</t>
  </si>
  <si>
    <t>mediante la identificación de sus fortalezas, vulnerabilidades conocidas y mecanismos de protección (SELinux, AppArmor, namespaces)</t>
  </si>
  <si>
    <t>para seleccionarlos y aplicarlos estratégicamente, considerando criterios de seguridad, en proyectos y tareas profesionales.</t>
  </si>
  <si>
    <t>Evaluar</t>
  </si>
  <si>
    <t>El estudiante implementa</t>
  </si>
  <si>
    <t>nuevas llamadas al sistema (syscalls) y servicios personalizados dentro del núcleo, aplicando buenas prácticas de seguridad</t>
  </si>
  <si>
    <t>mediante la modificación del código fuente del kernel de Linux, la creación de módulos y el uso seguro de copy_from_user / copy_to_user para prevenir buffer overflows y escaladas de privilegios</t>
  </si>
  <si>
    <t>para extender la funcionalidad del sistema operativo permitiendo una comunicación eficiente y segura entre el espacio de usuario y el espacio de kernel.</t>
  </si>
  <si>
    <t>El estudiante diseña</t>
  </si>
  <si>
    <t>aplicaciones en espacio de usuario</t>
  </si>
  <si>
    <t>Diseño de la Sesión de Laboratorio</t>
  </si>
  <si>
    <t>integrando llamadas al sistema y el sistema de archivos /proc</t>
  </si>
  <si>
    <t>para generar comunicación eficiente entre el kernel y los procesos de usuario expandiendo las capacidades del sistema operativo</t>
  </si>
  <si>
    <r>
      <rPr>
        <rFont val="Arial"/>
        <b/>
        <color theme="1"/>
      </rPr>
      <t>Manual de competencias:</t>
    </r>
    <r>
      <rPr>
        <rFont val="Arial"/>
        <color theme="1"/>
      </rPr>
      <t xml:space="preserve"> </t>
    </r>
    <r>
      <rPr>
        <rFont val="Arial"/>
        <color rgb="FF1155CC"/>
        <u/>
      </rPr>
      <t>https://drive.google.com/file/d/1n5es0M20vXxa7i4eLN7pbgTXc2C1dmCQ/view?usp=sharing</t>
    </r>
  </si>
  <si>
    <t>Ponderación</t>
  </si>
  <si>
    <r>
      <rPr>
        <rFont val="Arial"/>
        <b/>
        <color theme="1"/>
      </rPr>
      <t>Video de como hacer competencias:</t>
    </r>
    <r>
      <rPr>
        <rFont val="Arial"/>
        <color theme="1"/>
      </rPr>
      <t xml:space="preserve"> </t>
    </r>
    <r>
      <rPr>
        <rFont val="Arial"/>
        <color rgb="FF1155CC"/>
        <u/>
      </rPr>
      <t>https://youtu.be/C8Q9dKo4t-w?si=yErgF_ihe1tsaHM0</t>
    </r>
  </si>
  <si>
    <t>Validación de Tiempo</t>
  </si>
  <si>
    <t>Si las competencias son las misma que el semetre anterior compartenos tu opinion de porque no se cambiaron</t>
  </si>
  <si>
    <t>1. Área Actitudinal (Saber Ser)</t>
  </si>
  <si>
    <t>Tiene que estar en un rango de 3 a 5 minutos</t>
  </si>
  <si>
    <t>Nombre del Valor</t>
  </si>
  <si>
    <t>Responsabilidad</t>
  </si>
  <si>
    <t>Descripcion</t>
  </si>
  <si>
    <t>Compromiso ético y profesional que asume el estudiante al interactuar con software de código abierto y sistemas críticos.</t>
  </si>
  <si>
    <t>Como se relaciona con los conocimientos de la sesion y se aplicaria</t>
  </si>
  <si>
    <t>Durante esta sesión se introduce la escritura y compilación de módulos del kernel (LKM). Debido a que se manipula el código fuente de un sistema operativo real (Linux), cualquier error o mala intención puede comprometer la integridad del hardware o la seguridad de los datos.</t>
  </si>
  <si>
    <t>2. Área Conocimiento (Saber)</t>
  </si>
  <si>
    <t>Pensamiento Crítico</t>
  </si>
  <si>
    <t>No puede exceder los 60 minutos</t>
  </si>
  <si>
    <t>Competencia a desarrollar</t>
  </si>
  <si>
    <t>Capacidad de cuestionar y analizar profundamente la estructura del software base.</t>
  </si>
  <si>
    <t>2.1 Contenido</t>
  </si>
  <si>
    <t>Se relaciona con la exploración y modificación del código del kernel de Linux, donde el estudiante debe decidir con criterio qué funcionalidades alterar para adaptar el sistema.</t>
  </si>
  <si>
    <t>Unidad</t>
  </si>
  <si>
    <t xml:space="preserve">Tema </t>
  </si>
  <si>
    <t>Sub Tema</t>
  </si>
  <si>
    <t xml:space="preserve">El estudiante implementa nuevas llamadas al sistema (syscalls) y servicios personalizados dentro del núcleo mediante la modificación del código fuente del kernel de Linux y la creación de módulos para extender la funcionalidad del sistema operativo y permitir una comunicación eficiente y segura entre el espacio de usuario y el espacio de kernel. </t>
  </si>
  <si>
    <t>Consistencia</t>
  </si>
  <si>
    <t>Perseverancia en el estudio sistemático para dominar herramientas complejas.</t>
  </si>
  <si>
    <t>2.2 Recursos Educativos</t>
  </si>
  <si>
    <t>Fundamental para comprender el ciclo de vida del proceso y cómo los estados transitan de manera lógica dentro del PCB.</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</si>
  <si>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</si>
  <si>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</si>
  <si>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</si>
  <si>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</si>
  <si>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</si>
  <si>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</si>
  <si>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</si>
  <si>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</si>
  <si>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</si>
  <si>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</si>
  <si>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</si>
  <si>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</si>
  <si>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</si>
  <si>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Cuestionario</t>
  </si>
  <si>
    <t>Coloca el tiempo que usar en la actividad, un tiempo sugerido 30 minutos</t>
  </si>
  <si>
    <t>Descripcion de la Actividad</t>
  </si>
  <si>
    <t>Examen corto sobre el uso de interfaces de comunicación entre espacio de usuario y kernel.</t>
  </si>
  <si>
    <t>Examen corto de opción múltiples sobre los tipos de sistemas operativos y la filosofía del código abierto.</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</si>
  <si>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</si>
  <si>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</si>
  <si>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</si>
  <si>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</si>
  <si>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</si>
  <si>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t>
  </si>
  <si>
    <t>Dudas de práctica 2</t>
  </si>
  <si>
    <t>Resuelve alguna duda, asigna las actividades que deben realizar, dudas de proyectos, etc</t>
  </si>
  <si>
    <t>Examen corto sobre las diferencias entre programas y procesos, sus identificadores y secciones de memoria.</t>
  </si>
  <si>
    <t>Dudas de práctica 3</t>
  </si>
  <si>
    <t>Criterio y toma de decisiones</t>
  </si>
  <si>
    <t>Disciplina</t>
  </si>
  <si>
    <t>Evaluación responsable de alternativas técnicas.</t>
  </si>
  <si>
    <t>Orden y rigor en el diseño de algoritmos.</t>
  </si>
  <si>
    <t>El estudiante debe decidir qué mecanismo de bloqueo (Mutex o Semáforo) es el más eficiente según el tipo de sección crítica.</t>
  </si>
  <si>
    <t>Al trabajar con estructuras concurrentes, la disciplina evita errores de lógica que comprometen la estabilidad del sistema.</t>
  </si>
  <si>
    <t>Equidad</t>
  </si>
  <si>
    <t xml:space="preserve">Mantener coherencia entre los principios teóricos de gestión de memoria y su aplicación práctica en el desarrollo de software.                                                        </t>
  </si>
  <si>
    <t xml:space="preserve">El estudiante aplica consistentemente los algoritmos de reemplazo de páginas correctos según el contexto del problema, evitando decisiones arbitrarias.                                                        </t>
  </si>
  <si>
    <t>actividades</t>
  </si>
  <si>
    <t>Examen corto sobre concurrencia, paralelismo, ejecución paralela, hilos y sus tipos.</t>
  </si>
  <si>
    <t>Implementación de bloqueos de exclusión mutua en código concurrente para asegurar la integridad de los datos compartidos en lenguaje C.</t>
  </si>
  <si>
    <t xml:space="preserve">Dudas de práctica 4							
							</t>
  </si>
  <si>
    <t xml:space="preserve">Dudas de práctica 5                                              
                                                        </t>
  </si>
  <si>
    <t>Examen corto sobre algoritmos de reemplazo de páginas (FIFO vs LRU vs Óptimo).</t>
  </si>
  <si>
    <t>Precaución</t>
  </si>
  <si>
    <t xml:space="preserve">Adoptar medidas preventivas para reducir riesgos al interactuar con estructuras internas del kernel.                                                        </t>
  </si>
  <si>
    <t xml:space="preserve">El estudiante debe tener cuidado al leer estructuras del kernel para no provocar condiciones de carrera o lecturas inconsistentes que comprometan la estabilidad del sistema.                                                        </t>
  </si>
  <si>
    <t xml:space="preserve">Adaptabilidad						</t>
  </si>
  <si>
    <t>Ajustarse con flexibilidad a nuevas circunstancias, cambios o desafíos sin perder efectividad.</t>
  </si>
  <si>
    <t>El estudiante adapta la estrategia de comunicación kernel-usuario (syscall, /proc o Netlink) según los requisitos de latencia, volumen de datos y complejidad del sistema.</t>
  </si>
  <si>
    <t>Examen corto sobre estructuras del kernel como jiffies y si_meminfo</t>
  </si>
  <si>
    <t>Dudas y asignación Proyecto unico.</t>
  </si>
  <si>
    <t>Examen corto sobre uso de /proc para monitoreo del sistema.</t>
  </si>
  <si>
    <t>Resolución de dudas.</t>
  </si>
  <si>
    <t xml:space="preserve">Ética                                                </t>
  </si>
  <si>
    <t>Guiarse por principios morales que orientan el comportamiento hacia lo correcto, honesto y justo.</t>
  </si>
  <si>
    <t>El estudiante comprende que el conocimiento de vulnerabilidades del kernel debe usarse de forma responsable y ética, únicamente para proteger sistemas y no para comprometerlos maliciosamente.</t>
  </si>
  <si>
    <t>Trabajo en Equipo</t>
  </si>
  <si>
    <t>Colaborar y coordinarse con otros para alcanzar objetivos comunes, aportando habilidades individuales en beneficio del grupo.</t>
  </si>
  <si>
    <t>El estudiante trabaja con sus compañeros para analizar y comparar distintos sistemas operativos, combinando perspectivas para construir criterios de selección más completos.</t>
  </si>
  <si>
    <t>Examen corto sobre vulnerabilidades tipo buffer overflow.</t>
  </si>
  <si>
    <t>La sumatoria de los puntos de los proyectos debe superar el  60% del total de la nota, no puede ser un 100%</t>
  </si>
  <si>
    <t>1. Primer Proyecto</t>
  </si>
  <si>
    <t>Horas para realizarlo</t>
  </si>
  <si>
    <t>Titulo</t>
  </si>
  <si>
    <t>Sistema Integral de Monitoreo, Análisis y Respuesta de Seguridad a Nivel Kernel</t>
  </si>
  <si>
    <t>Qué tecnologías, lenguajes de programación, plataformas, hardware o software se utilizaran</t>
  </si>
  <si>
    <t>VMWare, LinuxMint, Lenguaje C, HTML, CSS, Javascript, GCC, herramientas de compilación (build-essential, libncurses-dev, bison, flex), GitLab</t>
  </si>
  <si>
    <t>Descripción de lo que se realizara</t>
  </si>
  <si>
    <t>Diseñar e implementar un sistema integral de monitoreo y análisis de seguridad a nivel kernel, que permita recolectar métricas del sistema, analizar procesos y archivos mediante llamadas al sistema personalizadas, detectando amenazas simuladas utilizando un mecanismo de firmas basado en hashes. Se logrará mediante la implementación de syscalls en el kernel de Linux para la recolección de métricas y análisis de archivos, el desarrollo de un programa en espacio de usuario en C que procese la información y la envíe a un programa intermedio en C, y la construcción de un dashboard web que permita la visualización y gestión del sistema, incluyendo autenticación mediante PAM.</t>
  </si>
  <si>
    <t>2. Segundo Proyecto</t>
  </si>
  <si>
    <t>3. Tercer Proyecto</t>
  </si>
  <si>
    <t>Optativa</t>
  </si>
  <si>
    <t>Practicas</t>
  </si>
  <si>
    <t>Examen corto sobre diferencias entre Linux, Windows y RTOS.</t>
  </si>
  <si>
    <t>La sumatoria de los puntos de los practicas debe no debe super el  20%</t>
  </si>
  <si>
    <t>1. Primera Practica</t>
  </si>
  <si>
    <t>Obligatoria</t>
  </si>
  <si>
    <t>Modificación de funciones del kernel</t>
  </si>
  <si>
    <t>VMWare, LinuxMint, GitLab</t>
  </si>
  <si>
    <t>Esta práctica tiene como objetivo que los estudiantes comprendan la estructura interna del kernel de Linux y su proceso de compilación mediante la modificación de una llamada al sistema real. En este caso, se añadirá un contador que registre cuántas veces se ha invocado la función sys_getpid(), demostrando cómo los cambios en el código del kernel pueden alterar su comportamiento.</t>
  </si>
  <si>
    <t>2. Segunda Practica</t>
  </si>
  <si>
    <t>Creación de una nueva llamada al sistema</t>
  </si>
  <si>
    <t>Linux Mint, kernel Linux, lenguaje C, editor de texto, terminal.</t>
  </si>
  <si>
    <t>Codigo-Nombre</t>
  </si>
  <si>
    <t>Competencias</t>
  </si>
  <si>
    <t>El estudiante diseñará e implementará una syscall personalizada en el kernel. Se probará su funcionamiento desde un programa de usuario y se analizará cómo el kernel controla la interacción con aplicaciones externas.</t>
  </si>
  <si>
    <t>17 - Área Social Humanística 1</t>
  </si>
  <si>
    <t>3. Tercera Practica</t>
  </si>
  <si>
    <t>101 - Área Matemática Básica 1</t>
  </si>
  <si>
    <t>Identifica oportunidades y riesgos para la innovación y adaptación de
 conocimientos y tecnologías para resolver problemas.</t>
  </si>
  <si>
    <t>5 - Técnicas de Estudio e Investigación</t>
  </si>
  <si>
    <t>Programas de usuario usando la syscall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</si>
  <si>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</si>
  <si>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</si>
  <si>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</si>
  <si>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Linux Mint, kernel Linux con syscall implementada, lenguaje C, terminal.</t>
  </si>
  <si>
    <t>Maneja e Interpreta adecuadamente datos masivos, sean estos
 estructurados o no estructurados, facilitando su visualización e interpretación
 de forma eficaz en apoyo a la toma de decisiones.</t>
  </si>
  <si>
    <t>6 - Idioma Tecnico 1</t>
  </si>
  <si>
    <t>El estudiante desarrollará programas de usuario que invocan una nueva syscall incluyendo la syscall creada en la practica anterior, manejando errores y utilizando adecuadamente los recursos del sistema para lograr tareas concretas.</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</si>
  <si>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</si>
  <si>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</si>
  <si>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</si>
  <si>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</si>
  <si>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</si>
  <si>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4. Cuarta Practica</t>
  </si>
  <si>
    <t>Comunica a diversos públicos, información de su campo profesional, en
 varios lenguajes y formatos de manera asertiva, clara, rigurosa y precisa, con
 el uso apropiado de recursos tecnológicos.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</si>
  <si>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</si>
  <si>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</si>
  <si>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</si>
  <si>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</si>
  <si>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</si>
  <si>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</si>
  <si>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</si>
  <si>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</si>
  <si>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</si>
  <si>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</si>
  <si>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</si>
  <si>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</si>
  <si>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</si>
  <si>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La sumatoria de los puntos de los practicas debe no debe super el  10% de la nota</t>
  </si>
  <si>
    <t>796 - Lenguajes Formales y de Programación</t>
  </si>
  <si>
    <t>771 - Introducción a la Programación y Computación 2</t>
  </si>
  <si>
    <t>112 - Área Matemática Intermedia 2</t>
  </si>
  <si>
    <t>Tarea de fortalecimiento académico</t>
  </si>
  <si>
    <t>114 - Área Matemática Intermedia 3</t>
  </si>
  <si>
    <t>152 - Física 2</t>
  </si>
  <si>
    <t>10 - Lógica</t>
  </si>
  <si>
    <t>11 - Idioma Técnico 4</t>
  </si>
  <si>
    <t>2025 - Prácticas Iniciales</t>
  </si>
  <si>
    <t>732 - Estadística 1</t>
  </si>
  <si>
    <t>Obligatoria se debe dejar en la sesion de diagnistico</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</si>
  <si>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</si>
  <si>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</si>
  <si>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</si>
  <si>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</si>
  <si>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</si>
  <si>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</si>
  <si>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</si>
  <si>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</si>
  <si>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</si>
  <si>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</si>
  <si>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</si>
  <si>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</si>
  <si>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</si>
  <si>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</si>
  <si>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</si>
  <si>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</si>
  <si>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</si>
  <si>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</si>
  <si>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</si>
  <si>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</si>
  <si>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</si>
  <si>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</si>
  <si>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</si>
  <si>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</si>
  <si>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</si>
  <si>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</si>
  <si>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</si>
  <si>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</si>
  <si>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</si>
  <si>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</si>
  <si>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</si>
  <si>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</si>
  <si>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</si>
  <si>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</si>
  <si>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</si>
  <si>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</si>
  <si>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</si>
  <si>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Autenticación, Control de Acceso y Auditoría en el Kernel Linux</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</si>
  <si>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</si>
  <si>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</si>
  <si>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</si>
  <si>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</si>
  <si>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</si>
  <si>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</si>
  <si>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</si>
  <si>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</si>
  <si>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</si>
  <si>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</si>
  <si>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</si>
  <si>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Instalación y Configuración de un entorno de virtualizador con un sistema operativo GNU/Linux</t>
  </si>
  <si>
    <t>92 - Programacion de Computadoras 2</t>
  </si>
  <si>
    <t>667 - Programacion Comercial 1</t>
  </si>
  <si>
    <t>768 - Algoritmos</t>
  </si>
  <si>
    <t>0089 - Comunicación Asertiva</t>
  </si>
  <si>
    <t xml:space="preserve">Linux Mint / Ubuntu, kernel Linux (LKM), lenguaje C, PAM (libpam), SELinux / AppArmor, auditd, eBPF (bpftrace), GitLab, terminal.
</t>
  </si>
  <si>
    <t>El estudiante implementa autenticación con PAM, desarrolla una syscall que valida UID/GID para controlar privilegios, aplica confinamiento con AppArmor/SELinux y realiza auditoría con auditd y eBPF para monitorear y registrar invocaciones al sistema.</t>
  </si>
  <si>
    <t>5. Quinta Practica</t>
  </si>
  <si>
    <t>Que conocimientos base y competencias esenciales se deben reforzar que permitan al estudiante afrontar con mayor solidez los contenidos del curso</t>
  </si>
  <si>
    <t>El estudiante instalará y configurará un entorno de virtualización utilizando VMWare, creando una maquina virtual con una distribución Linux Mint, ajustando el número de CPUs, cantidad de memoria RAM, espacio de almacenamiento, usuarios y configuración de red en estado Bridge o NAT.</t>
  </si>
  <si>
    <t>1. Primera Tarea</t>
  </si>
  <si>
    <t>6. Sexta Practica</t>
  </si>
  <si>
    <t>Desarrollo y gestión de módulos Cargables del kernel (LKM)</t>
  </si>
  <si>
    <t>Linux Mint, kernel Linux, lenguaje C, herramientas de compilación y depuración.</t>
  </si>
  <si>
    <t>7. Septima Practica</t>
  </si>
  <si>
    <t>VMWare, LinuxMint, GCC, Make, Kernel headers, utilidades de módulos (insmod, rmmod, lsmod, dmesg), GitLab</t>
  </si>
  <si>
    <t>2. Segunda Tarea</t>
  </si>
  <si>
    <t>Instalación, verificación de herramientas de compilación y exploración del kernel</t>
  </si>
  <si>
    <t>GCC, make, GDB, librerías de desarrollo de C, Linux Mint.</t>
  </si>
  <si>
    <t>El estudiante instalará y configurará herramientas de compilación y depuración. Se probará la compilación del kernel linux sin realizar mayores modificaciones.</t>
  </si>
  <si>
    <t>3. Tercera Tarea</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</si>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</sst>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color theme="1"/>
      <name val="Arial"/>
    </font>
    <font>
      <b/>
      <sz val="12.0"/>
      <color rgb="FFFBBC04"/>
      <name val="Arial"/>
    </font>
    <font>
      <b/>
      <sz val="12.0"/>
      <color rgb="FFFF6D01"/>
      <name val="Arial"/>
    </font>
    <font>
      <b/>
      <color theme="1"/>
      <name val="Arial"/>
    </font>
    <font>
      <color rgb="FFFFFFFF"/>
      <name val="Arial"/>
    </font>
    <font>
      <b/>
      <sz val="12.0"/>
      <color theme="8"/>
      <name val="Arial"/>
    </font>
    <font>
      <color rgb="FFB7B7B7"/>
      <name val="Arial"/>
    </font>
    <font>
      <sz val="12.0"/>
      <color rgb="FFB7B7B7"/>
      <name val="Arial"/>
    </font>
    <font/>
    <font>
      <b/>
      <sz val="11.0"/>
      <color theme="1"/>
      <name val="Arial"/>
    </font>
    <font>
      <b/>
      <sz val="12.0"/>
      <color theme="1"/>
      <name val="Arial"/>
    </font>
    <font>
      <sz val="12.0"/>
      <color rgb="FF404040"/>
      <name val="Inter"/>
    </font>
    <font>
      <sz val="12.0"/>
      <color theme="1"/>
      <name val="Arial"/>
    </font>
    <font>
      <b/>
      <sz val="13.0"/>
      <color theme="4"/>
      <name val="Arial"/>
    </font>
    <font>
      <color theme="1"/>
      <name val="Arial"/>
      <scheme val="minor"/>
    </font>
    <font>
      <b/>
      <sz val="12.0"/>
      <color theme="4"/>
      <name val="Arial"/>
    </font>
    <font>
      <color rgb="FF999999"/>
      <name val="Arial"/>
    </font>
    <font>
      <b/>
      <sz val="13.0"/>
      <color rgb="FF4285F4"/>
      <name val="Arial"/>
    </font>
    <font>
      <u/>
      <color rgb="FF0000FF"/>
      <name val="Arial"/>
    </font>
    <font>
      <b/>
      <sz val="12.0"/>
      <color rgb="FF4285F4"/>
      <name val="Arial"/>
    </font>
    <font>
      <u/>
      <color rgb="FF0000FF"/>
      <name val="Arial"/>
    </font>
    <font>
      <sz val="11.0"/>
      <color theme="1"/>
      <name val="Arial"/>
    </font>
    <font>
      <u/>
      <color rgb="FF000000"/>
      <name val="Arial"/>
    </font>
    <font>
      <u/>
      <color theme="1"/>
      <name val="Arial"/>
    </font>
    <font>
      <b/>
      <sz val="12.0"/>
      <color rgb="FFFFFFFF"/>
      <name val="Arial"/>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4285F4"/>
        <bgColor rgb="FF4285F4"/>
      </patternFill>
    </fill>
    <fill>
      <patternFill patternType="solid">
        <fgColor rgb="FFCFE2F3"/>
        <bgColor rgb="FFCFE2F3"/>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EAD1DC"/>
        <bgColor rgb="FFEAD1DC"/>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double">
        <color rgb="FF434343"/>
      </left>
      <right style="double">
        <color rgb="FF434343"/>
      </right>
      <top style="double">
        <color rgb="FF434343"/>
      </top>
      <bottom style="double">
        <color rgb="FF434343"/>
      </bottom>
    </border>
    <border>
      <right style="thin">
        <color rgb="FF000000"/>
      </right>
      <top style="thin">
        <color rgb="FF000000"/>
      </top>
      <bottom style="thin">
        <color rgb="FF000000"/>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wrapText="1"/>
    </xf>
    <xf borderId="0" fillId="0" fontId="2" numFmtId="0" xfId="0" applyAlignment="1" applyFont="1">
      <alignment horizontal="center" vertical="bottom"/>
    </xf>
    <xf borderId="0" fillId="0" fontId="3" numFmtId="0" xfId="0" applyFont="1"/>
    <xf borderId="0" fillId="0" fontId="4" numFmtId="0" xfId="0" applyFont="1"/>
    <xf borderId="0" fillId="0" fontId="5" numFmtId="0" xfId="0" applyFont="1"/>
    <xf borderId="0" fillId="0" fontId="6" numFmtId="0" xfId="0" applyFont="1"/>
    <xf borderId="0" fillId="0" fontId="4" numFmtId="0" xfId="0" applyAlignment="1" applyFont="1">
      <alignment readingOrder="0"/>
    </xf>
    <xf borderId="1" fillId="0" fontId="4" numFmtId="0" xfId="0" applyBorder="1" applyFont="1"/>
    <xf borderId="0" fillId="0" fontId="4" numFmtId="0" xfId="0" applyAlignment="1" applyFont="1">
      <alignment shrinkToFit="0" wrapText="1"/>
    </xf>
    <xf borderId="0" fillId="0" fontId="1" numFmtId="0" xfId="0" applyFont="1"/>
    <xf borderId="0" fillId="0" fontId="7" numFmtId="0" xfId="0" applyFont="1"/>
    <xf borderId="0" fillId="0" fontId="8" numFmtId="0" xfId="0" applyAlignment="1" applyFont="1">
      <alignment shrinkToFit="0" wrapText="1"/>
    </xf>
    <xf borderId="2" fillId="0" fontId="1" numFmtId="0" xfId="0" applyBorder="1" applyFont="1"/>
    <xf borderId="3" fillId="0" fontId="9" numFmtId="0" xfId="0" applyBorder="1" applyFont="1"/>
    <xf borderId="0" fillId="0" fontId="10" numFmtId="0" xfId="0" applyAlignment="1" applyFont="1">
      <alignment vertical="bottom"/>
    </xf>
    <xf borderId="4" fillId="2" fontId="11" numFmtId="0" xfId="0" applyAlignment="1" applyBorder="1" applyFill="1" applyFont="1">
      <alignment shrinkToFit="0" vertical="bottom" wrapText="1"/>
    </xf>
    <xf borderId="5" fillId="0" fontId="9" numFmtId="0" xfId="0" applyBorder="1" applyFont="1"/>
    <xf borderId="2" fillId="3" fontId="12" numFmtId="0" xfId="0" applyAlignment="1" applyBorder="1" applyFill="1" applyFont="1">
      <alignment horizontal="center" shrinkToFit="0" vertical="bottom" wrapText="1"/>
    </xf>
    <xf borderId="1" fillId="0" fontId="10" numFmtId="0" xfId="0" applyAlignment="1" applyBorder="1" applyFont="1">
      <alignment vertical="bottom"/>
    </xf>
    <xf borderId="1" fillId="4" fontId="12" numFmtId="0" xfId="0" applyAlignment="1" applyBorder="1" applyFill="1" applyFont="1">
      <alignment horizontal="center" shrinkToFit="0" vertical="bottom" wrapText="1"/>
    </xf>
    <xf borderId="1" fillId="0" fontId="1" numFmtId="0" xfId="0" applyBorder="1" applyFont="1"/>
    <xf borderId="6" fillId="2" fontId="11" numFmtId="0" xfId="0" applyAlignment="1" applyBorder="1" applyFill="1" applyFont="1">
      <alignment shrinkToFit="0" vertical="bottom" wrapText="1"/>
    </xf>
    <xf borderId="7" fillId="0" fontId="9" numFmtId="0" xfId="0" applyBorder="1" applyFont="1"/>
    <xf borderId="8" fillId="0" fontId="9" numFmtId="0" xfId="0" applyBorder="1" applyFont="1"/>
    <xf borderId="1" fillId="0" fontId="10" numFmtId="0" xfId="0" applyAlignment="1" applyBorder="1" applyFont="1">
      <alignment shrinkToFit="0" vertical="bottom" wrapText="1"/>
    </xf>
    <xf borderId="2" fillId="0" fontId="1" numFmtId="0" xfId="0" applyAlignment="1" applyBorder="1" applyFont="1">
      <alignment readingOrder="0" vertical="bottom"/>
    </xf>
    <xf borderId="0" fillId="5" fontId="1" numFmtId="0" xfId="0" applyAlignment="1" applyFill="1" applyFont="1">
      <alignment shrinkToFit="0" vertical="bottom" wrapText="1"/>
    </xf>
    <xf borderId="0" fillId="0" fontId="1" numFmtId="0" xfId="0" applyAlignment="1" applyFont="1">
      <alignment shrinkToFit="0" wrapText="0"/>
    </xf>
    <xf borderId="0" fillId="4" fontId="1" numFmtId="0" xfId="0" applyAlignment="1" applyFill="1" applyFont="1">
      <alignment vertical="bottom"/>
    </xf>
    <xf borderId="0" fillId="0" fontId="1" numFmtId="0" xfId="0" applyAlignment="1" applyFont="1">
      <alignment horizontal="center" shrinkToFit="0" vertical="center" wrapText="1"/>
    </xf>
    <xf borderId="4" fillId="0" fontId="13" numFmtId="0" xfId="0" applyAlignment="1" applyBorder="1" applyFont="1">
      <alignment shrinkToFit="0" vertical="bottom" wrapText="1"/>
    </xf>
    <xf borderId="0" fillId="0" fontId="1" numFmtId="0" xfId="0" applyAlignment="1" applyFont="1">
      <alignment readingOrder="0" shrinkToFit="0" wrapText="0"/>
    </xf>
    <xf borderId="1" fillId="4" fontId="12" numFmtId="0" xfId="0" applyAlignment="1" applyBorder="1" applyFill="1" applyFont="1">
      <alignment horizontal="center" vertical="bottom"/>
    </xf>
    <xf borderId="0" fillId="0" fontId="14" numFmtId="0" xfId="0" applyFont="1"/>
    <xf borderId="0" fillId="0" fontId="15" numFmtId="0" xfId="0" applyAlignment="1" applyFont="1">
      <alignment shrinkToFit="0" wrapText="0"/>
    </xf>
    <xf borderId="0" fillId="0" fontId="16" numFmtId="0" xfId="0" applyAlignment="1" applyFont="1">
      <alignment shrinkToFit="0" wrapText="1"/>
    </xf>
    <xf borderId="4" fillId="0" fontId="1" numFmtId="0" xfId="0" applyAlignment="1" applyBorder="1" applyFont="1">
      <alignment horizontal="right" vertical="bottom"/>
    </xf>
    <xf borderId="1" fillId="0" fontId="13" numFmtId="0" xfId="0" applyAlignment="1" applyBorder="1" applyFont="1">
      <alignment horizontal="center" vertical="bottom"/>
    </xf>
    <xf borderId="0" fillId="0" fontId="15" numFmtId="0" xfId="0" applyAlignment="1" applyFont="1">
      <alignment readingOrder="0" shrinkToFit="0" wrapText="0"/>
    </xf>
    <xf borderId="0" fillId="6" fontId="5" numFmtId="0" xfId="0" applyFill="1" applyFont="1"/>
    <xf borderId="4" fillId="0" fontId="1" numFmtId="0" xfId="0" applyAlignment="1" applyBorder="1" applyFont="1">
      <alignment vertical="bottom"/>
    </xf>
    <xf borderId="0" fillId="0" fontId="17" numFmtId="0" xfId="0" applyFont="1"/>
    <xf borderId="1" fillId="7" fontId="10" numFmtId="0" xfId="0" applyAlignment="1" applyBorder="1" applyFill="1" applyFont="1">
      <alignment horizontal="center" vertical="bottom"/>
    </xf>
    <xf borderId="6" fillId="0" fontId="1" numFmtId="0" xfId="0" applyAlignment="1" applyBorder="1" applyFont="1">
      <alignment vertical="bottom"/>
    </xf>
    <xf borderId="1" fillId="8" fontId="1" numFmtId="0" xfId="0" applyAlignment="1" applyBorder="1" applyFill="1" applyFont="1">
      <alignment shrinkToFit="0" vertical="bottom" wrapText="1"/>
    </xf>
    <xf borderId="2" fillId="7" fontId="10" numFmtId="0" xfId="0" applyAlignment="1" applyBorder="1" applyFill="1" applyFont="1">
      <alignment horizontal="center" vertical="bottom"/>
    </xf>
    <xf borderId="0" fillId="5" fontId="1" numFmtId="0" xfId="0" applyAlignment="1" applyFill="1" applyFont="1">
      <alignment horizontal="right" vertical="bottom"/>
    </xf>
    <xf borderId="2" fillId="0" fontId="1" numFmtId="0" xfId="0" applyAlignment="1" applyBorder="1" applyFont="1">
      <alignment vertical="bottom"/>
    </xf>
    <xf borderId="1" fillId="7" fontId="10" numFmtId="0" xfId="0" applyAlignment="1" applyBorder="1" applyFill="1" applyFont="1">
      <alignment horizontal="center" shrinkToFit="0" vertical="bottom" wrapText="1"/>
    </xf>
    <xf borderId="4" fillId="0" fontId="13" numFmtId="0" xfId="0" applyAlignment="1" applyBorder="1" applyFont="1">
      <alignment vertical="bottom"/>
    </xf>
    <xf borderId="2" fillId="7" fontId="10" numFmtId="0" xfId="0" applyAlignment="1" applyBorder="1" applyFill="1" applyFont="1">
      <alignment horizontal="center" shrinkToFit="0" vertical="bottom" wrapText="1"/>
    </xf>
    <xf borderId="2" fillId="0" fontId="1" numFmtId="0" xfId="0" applyAlignment="1" applyBorder="1" applyFont="1">
      <alignment vertical="bottom"/>
    </xf>
    <xf borderId="1" fillId="0" fontId="1" numFmtId="0" xfId="0" applyAlignment="1" applyBorder="1" applyFont="1">
      <alignment horizontal="right" vertical="bottom"/>
    </xf>
    <xf borderId="1" fillId="8" fontId="1" numFmtId="0" xfId="0" applyAlignment="1" applyBorder="1" applyFill="1" applyFont="1">
      <alignment shrinkToFit="0" wrapText="1"/>
    </xf>
    <xf borderId="0" fillId="0" fontId="1" numFmtId="0" xfId="0" applyAlignment="1" applyFont="1">
      <alignment readingOrder="0" shrinkToFit="0" wrapText="1"/>
    </xf>
    <xf borderId="6" fillId="0" fontId="1" numFmtId="0" xfId="0" applyAlignment="1" applyBorder="1" applyFont="1">
      <alignment readingOrder="0" vertical="bottom"/>
    </xf>
    <xf borderId="1" fillId="0" fontId="10" numFmtId="0" xfId="0" applyAlignment="1" applyBorder="1" applyFont="1">
      <alignment readingOrder="0" vertical="bottom"/>
    </xf>
    <xf borderId="1" fillId="8" fontId="1" numFmtId="0" xfId="0" applyBorder="1" applyFill="1" applyFont="1"/>
    <xf borderId="0" fillId="0" fontId="15" numFmtId="0" xfId="0" applyAlignment="1" applyFont="1">
      <alignment readingOrder="0"/>
    </xf>
    <xf borderId="2" fillId="0" fontId="1" numFmtId="0" xfId="0" applyAlignment="1" applyBorder="1" applyFont="1">
      <alignment horizontal="right" vertical="bottom"/>
    </xf>
    <xf borderId="4" fillId="0" fontId="1" numFmtId="0" xfId="0" applyAlignment="1" applyBorder="1" applyFont="1">
      <alignment horizontal="right" readingOrder="0" vertical="bottom"/>
    </xf>
    <xf borderId="1" fillId="9" fontId="1" numFmtId="0" xfId="0" applyAlignment="1" applyBorder="1" applyFill="1" applyFont="1">
      <alignment readingOrder="0" vertical="bottom"/>
    </xf>
    <xf borderId="0" fillId="0" fontId="1" numFmtId="0" xfId="0" applyAlignment="1" applyFont="1">
      <alignment readingOrder="0"/>
    </xf>
    <xf borderId="0" fillId="0" fontId="18" numFmtId="0" xfId="0" applyFont="1"/>
    <xf borderId="9" fillId="0" fontId="13" numFmtId="0" xfId="0" applyAlignment="1" applyBorder="1" applyFont="1">
      <alignment vertical="bottom"/>
    </xf>
    <xf borderId="2" fillId="10" fontId="1" numFmtId="0" xfId="0" applyAlignment="1" applyBorder="1" applyFill="1" applyFont="1">
      <alignment readingOrder="0" vertical="bottom"/>
    </xf>
    <xf borderId="9" fillId="0" fontId="1" numFmtId="0" xfId="0" applyAlignment="1" applyBorder="1" applyFont="1">
      <alignment horizontal="right" readingOrder="0" vertical="bottom"/>
    </xf>
    <xf borderId="5" fillId="10" fontId="1" numFmtId="0" xfId="0" applyAlignment="1" applyBorder="1" applyFill="1" applyFont="1">
      <alignment vertical="bottom"/>
    </xf>
    <xf borderId="2" fillId="0" fontId="19" numFmtId="0" xfId="0" applyAlignment="1" applyBorder="1" applyFont="1">
      <alignment readingOrder="0" vertical="bottom"/>
    </xf>
    <xf borderId="4" fillId="0" fontId="1" numFmtId="0" xfId="0" applyAlignment="1" applyBorder="1" applyFont="1">
      <alignment readingOrder="0" vertical="bottom"/>
    </xf>
    <xf borderId="1" fillId="11" fontId="1" numFmtId="0" xfId="0" applyAlignment="1" applyBorder="1" applyFill="1" applyFont="1">
      <alignment readingOrder="0" vertical="bottom"/>
    </xf>
    <xf borderId="0" fillId="0" fontId="20" numFmtId="0" xfId="0" applyAlignment="1" applyFont="1">
      <alignment shrinkToFit="0" wrapText="1"/>
    </xf>
    <xf borderId="10" fillId="0" fontId="1" numFmtId="0" xfId="0" applyAlignment="1" applyBorder="1" applyFont="1">
      <alignment readingOrder="0" vertical="bottom"/>
    </xf>
    <xf borderId="11" fillId="0" fontId="9" numFmtId="0" xfId="0" applyBorder="1" applyFont="1"/>
    <xf borderId="12" fillId="0" fontId="9" numFmtId="0" xfId="0" applyBorder="1" applyFont="1"/>
    <xf borderId="2" fillId="12" fontId="1" numFmtId="0" xfId="0" applyAlignment="1" applyBorder="1" applyFill="1" applyFont="1">
      <alignment readingOrder="0" vertical="bottom"/>
    </xf>
    <xf borderId="1" fillId="8" fontId="11" numFmtId="0" xfId="0" applyAlignment="1" applyBorder="1" applyFill="1" applyFont="1">
      <alignment shrinkToFit="0" vertical="bottom" wrapText="1"/>
    </xf>
    <xf borderId="5" fillId="12" fontId="1" numFmtId="0" xfId="0" applyAlignment="1" applyBorder="1" applyFill="1" applyFont="1">
      <alignment vertical="bottom"/>
    </xf>
    <xf borderId="0" fillId="6" fontId="5" numFmtId="0" xfId="0" applyAlignment="1" applyFill="1" applyFont="1">
      <alignment readingOrder="0"/>
    </xf>
    <xf borderId="1" fillId="13" fontId="1" numFmtId="0" xfId="0" applyAlignment="1" applyBorder="1" applyFill="1" applyFont="1">
      <alignment readingOrder="0" vertical="bottom"/>
    </xf>
    <xf borderId="1" fillId="8" fontId="1" numFmtId="0" xfId="0" applyAlignment="1" applyBorder="1" applyFill="1" applyFont="1">
      <alignment horizontal="right" vertical="bottom"/>
    </xf>
    <xf borderId="1" fillId="4" fontId="1" numFmtId="0" xfId="0" applyAlignment="1" applyBorder="1" applyFill="1" applyFont="1">
      <alignment vertical="bottom"/>
    </xf>
    <xf borderId="13" fillId="14" fontId="11" numFmtId="0" xfId="0" applyAlignment="1" applyBorder="1" applyFill="1" applyFont="1">
      <alignment shrinkToFit="0" vertical="bottom" wrapText="1"/>
    </xf>
    <xf borderId="2" fillId="0" fontId="21" numFmtId="0" xfId="0" applyAlignment="1" applyBorder="1" applyFont="1">
      <alignment readingOrder="0" vertical="bottom"/>
    </xf>
    <xf borderId="14" fillId="14" fontId="1" numFmtId="0" xfId="0" applyAlignment="1" applyBorder="1" applyFill="1" applyFont="1">
      <alignment shrinkToFit="0" vertical="bottom" wrapText="1"/>
    </xf>
    <xf borderId="2" fillId="0" fontId="1" numFmtId="0" xfId="0" applyAlignment="1" applyBorder="1" applyFont="1">
      <alignment readingOrder="0"/>
    </xf>
    <xf borderId="15" fillId="0" fontId="9" numFmtId="0" xfId="0" applyBorder="1" applyFont="1"/>
    <xf borderId="16" fillId="0" fontId="9" numFmtId="0" xfId="0" applyBorder="1" applyFont="1"/>
    <xf borderId="2" fillId="15" fontId="22" numFmtId="0" xfId="0" applyAlignment="1" applyBorder="1" applyFill="1" applyFont="1">
      <alignment horizontal="center" shrinkToFit="0" vertical="bottom" wrapText="1"/>
    </xf>
    <xf borderId="2" fillId="0" fontId="23" numFmtId="0" xfId="0" applyAlignment="1" applyBorder="1" applyFont="1">
      <alignment readingOrder="0" vertical="bottom"/>
    </xf>
    <xf borderId="5" fillId="10" fontId="1" numFmtId="0" xfId="0" applyAlignment="1" applyBorder="1" applyFill="1" applyFont="1">
      <alignment readingOrder="0" vertical="bottom"/>
    </xf>
    <xf borderId="5" fillId="12" fontId="1" numFmtId="0" xfId="0" applyAlignment="1" applyBorder="1" applyFill="1" applyFont="1">
      <alignment readingOrder="0" vertical="bottom"/>
    </xf>
    <xf borderId="0" fillId="0" fontId="1" numFmtId="0" xfId="0" applyAlignment="1" applyFont="1">
      <alignment readingOrder="0" vertical="bottom"/>
    </xf>
    <xf borderId="2" fillId="15" fontId="1" numFmtId="0" xfId="0" applyAlignment="1" applyBorder="1" applyFill="1" applyFont="1">
      <alignment horizontal="center"/>
    </xf>
    <xf borderId="1" fillId="0" fontId="1" numFmtId="0" xfId="0" applyAlignment="1" applyBorder="1" applyFont="1">
      <alignment shrinkToFit="0" wrapText="1"/>
    </xf>
    <xf borderId="0" fillId="0" fontId="24" numFmtId="0" xfId="0" applyAlignment="1" applyFont="1">
      <alignment readingOrder="0" vertical="bottom"/>
    </xf>
    <xf borderId="2" fillId="5" fontId="1" numFmtId="0" xfId="0" applyAlignment="1" applyBorder="1" applyFill="1" applyFont="1">
      <alignment vertical="bottom"/>
    </xf>
    <xf borderId="17" fillId="0" fontId="1" numFmtId="0" xfId="0" applyAlignment="1" applyBorder="1" applyFont="1">
      <alignment vertical="bottom"/>
    </xf>
    <xf borderId="18" fillId="0" fontId="9" numFmtId="0" xfId="0" applyBorder="1" applyFont="1"/>
    <xf borderId="2" fillId="0" fontId="1" numFmtId="0" xfId="0" applyAlignment="1" applyBorder="1" applyFont="1">
      <alignment horizontal="center"/>
    </xf>
    <xf borderId="19" fillId="0" fontId="9" numFmtId="0" xfId="0" applyBorder="1" applyFont="1"/>
    <xf borderId="0" fillId="0" fontId="20" numFmtId="0" xfId="0" applyFont="1"/>
    <xf borderId="20" fillId="0" fontId="9" numFmtId="0" xfId="0" applyBorder="1" applyFont="1"/>
    <xf borderId="21" fillId="0" fontId="9" numFmtId="0" xfId="0" applyBorder="1" applyFont="1"/>
    <xf borderId="0" fillId="16" fontId="25" numFmtId="0" xfId="0" applyFill="1" applyFont="1"/>
    <xf borderId="22" fillId="0" fontId="9" numFmtId="0" xfId="0" applyBorder="1" applyFont="1"/>
    <xf borderId="2" fillId="8" fontId="1" numFmtId="0" xfId="0" applyBorder="1" applyFill="1" applyFont="1"/>
    <xf borderId="17" fillId="0" fontId="1" numFmtId="0" xfId="0" applyAlignment="1" applyBorder="1" applyFont="1">
      <alignment readingOrder="0"/>
    </xf>
    <xf borderId="0" fillId="16" fontId="25" numFmtId="0" xfId="0" applyAlignment="1" applyFill="1" applyFont="1">
      <alignment readingOrder="0"/>
    </xf>
    <xf borderId="0" fillId="0" fontId="16" numFmtId="0" xfId="0" applyFont="1"/>
    <xf borderId="1" fillId="17" fontId="1" numFmtId="0" xfId="0" applyBorder="1" applyFill="1" applyFont="1"/>
    <xf borderId="2" fillId="17" fontId="1" numFmtId="0" xfId="0" applyBorder="1" applyFill="1" applyFont="1"/>
    <xf borderId="1" fillId="18" fontId="1" numFmtId="0" xfId="0" applyAlignment="1" applyBorder="1" applyFill="1" applyFont="1">
      <alignment shrinkToFit="0" wrapText="1"/>
    </xf>
    <xf borderId="2" fillId="18" fontId="1" numFmtId="0" xfId="0" applyBorder="1" applyFill="1" applyFont="1"/>
    <xf borderId="1" fillId="14" fontId="1" numFmtId="0" xfId="0" applyBorder="1" applyFill="1" applyFont="1"/>
    <xf borderId="2" fillId="0" fontId="26" numFmtId="0" xfId="0" applyBorder="1" applyFont="1"/>
    <xf borderId="2" fillId="0" fontId="26" numFmtId="0" xfId="0" applyAlignment="1" applyBorder="1" applyFont="1">
      <alignment readingOrder="0"/>
    </xf>
    <xf borderId="0" fillId="0" fontId="26" numFmtId="0" xfId="0" applyFont="1"/>
    <xf borderId="1" fillId="0" fontId="15" numFmtId="0" xfId="0" applyAlignment="1" applyBorder="1" applyFont="1">
      <alignment readingOrder="0"/>
    </xf>
    <xf borderId="1" fillId="0" fontId="15" numFmtId="0" xfId="0" applyBorder="1" applyFont="1"/>
    <xf borderId="23" fillId="0" fontId="9" numFmtId="0" xfId="0" applyBorder="1" applyFont="1"/>
    <xf borderId="2" fillId="0" fontId="15" numFmtId="0" xfId="0" applyBorder="1" applyFont="1"/>
    <xf borderId="24" fillId="0" fontId="9" numFmtId="0" xfId="0" applyBorder="1" applyFont="1"/>
    <xf borderId="0" fillId="0" fontId="27" numFmtId="0" xfId="0" applyFont="1"/>
    <xf borderId="17" fillId="0" fontId="1" numFmtId="0" xfId="0" applyBorder="1" applyFont="1"/>
    <xf borderId="1" fillId="0" fontId="1" numFmtId="0" xfId="0" applyAlignment="1" applyBorder="1" applyFont="1">
      <alignment readingOrder="0"/>
    </xf>
    <xf borderId="2" fillId="0" fontId="1" numFmtId="0" xfId="0" applyAlignment="1" applyBorder="1" applyFont="1">
      <alignment horizontal="right" readingOrder="0" vertical="bottom"/>
    </xf>
    <xf borderId="2" fillId="0" fontId="1" numFmtId="0" xfId="0" applyAlignment="1" applyBorder="1" applyFont="1">
      <alignment horizontal="right" vertical="bottom"/>
    </xf>
    <xf borderId="17" fillId="0" fontId="1" numFmtId="0" xfId="0" applyAlignment="1" applyBorder="1" applyFont="1">
      <alignment readingOrder="0" vertical="bottom"/>
    </xf>
    <xf borderId="3" fillId="0" fontId="1" numFmtId="0" xfId="0" applyBorder="1" applyFont="1"/>
    <xf borderId="5" fillId="0" fontId="1" numFmtId="0" xfId="0" applyBorder="1" applyFont="1"/>
    <xf borderId="0" fillId="0" fontId="3" numFmtId="0" xfId="0" applyAlignment="1" applyFont="1">
      <alignment horizontal="center"/>
    </xf>
    <xf borderId="3" fillId="0" fontId="1" numFmtId="0" xfId="0" applyAlignment="1" applyBorder="1" applyFont="1">
      <alignment readingOrder="0"/>
    </xf>
    <xf borderId="5" fillId="0" fontId="1" numFmtId="0" xfId="0" applyAlignment="1" applyBorder="1" applyFont="1">
      <alignment readingOrder="0"/>
    </xf>
    <xf borderId="17" fillId="0" fontId="1" numFmtId="0" xfId="0" applyAlignment="1" applyBorder="1" applyFont="1">
      <alignment shrinkToFit="0" vertical="bottom" wrapText="1"/>
    </xf>
    <xf borderId="0" fillId="0" fontId="20" numFmtId="0" xfId="0" applyAlignment="1" applyFont="1">
      <alignment vertical="bottom"/>
    </xf>
    <xf borderId="0" fillId="0" fontId="20" numFmtId="0" xfId="0" applyAlignment="1" applyFont="1">
      <alignment shrinkToFit="0" vertical="bottom" wrapText="1"/>
    </xf>
    <xf borderId="0" fillId="6" fontId="25" numFmtId="0" xfId="0" applyAlignment="1" applyFill="1" applyFont="1">
      <alignment horizontal="right" readingOrder="0" vertical="bottom"/>
    </xf>
    <xf borderId="0" fillId="0" fontId="26" numFmtId="0" xfId="0" applyAlignment="1" applyFont="1">
      <alignment vertical="bottom"/>
    </xf>
    <xf borderId="0" fillId="0" fontId="1" numFmtId="0" xfId="0" applyAlignment="1" applyFont="1">
      <alignment vertical="bottom"/>
    </xf>
    <xf borderId="1" fillId="17" fontId="1" numFmtId="0" xfId="0" applyAlignment="1" applyBorder="1" applyFill="1" applyFont="1">
      <alignment vertical="bottom"/>
    </xf>
    <xf borderId="2" fillId="8" fontId="1" numFmtId="0" xfId="0" applyAlignment="1" applyBorder="1" applyFill="1" applyFont="1">
      <alignment vertical="bottom"/>
    </xf>
    <xf borderId="17" fillId="0" fontId="1" numFmtId="0" xfId="0" applyAlignment="1" applyBorder="1" applyFont="1">
      <alignment readingOrder="0" shrinkToFit="0" vertical="bottom" wrapText="1"/>
    </xf>
    <xf borderId="0" fillId="6" fontId="25" numFmtId="0" xfId="0" applyAlignment="1" applyFill="1" applyFont="1">
      <alignment horizontal="right" vertical="bottom"/>
    </xf>
    <xf borderId="0" fillId="6" fontId="25" numFmtId="0" xfId="0" applyAlignment="1" applyFill="1" applyFont="1">
      <alignment horizontal="right" vertical="bottom"/>
    </xf>
    <xf borderId="17" fillId="0" fontId="28" numFmtId="0" xfId="0" applyAlignment="1" applyBorder="1" applyFont="1">
      <alignment readingOrder="0"/>
    </xf>
    <xf borderId="0" fillId="0" fontId="25"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952500</xdr:colOff>
      <xdr:row>10</xdr:row>
      <xdr:rowOff>9525</xdr:rowOff>
    </xdr:from>
    <xdr:ext cx="6772275" cy="32194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reate.kahoot.it/details/diagnostico-conocimientos-previos-2026/f13fafb9-0a1d-4e66-8192-1694223750f4?drawer=" TargetMode="External"/><Relationship Id="rId3" Type="http://schemas.openxmlformats.org/officeDocument/2006/relationships/hyperlink" Target="https://forms.gle/8tLjYX5xEFWWcoKBA" TargetMode="External"/><Relationship Id="rId4" Type="http://schemas.openxmlformats.org/officeDocument/2006/relationships/hyperlink" Target="https://create.kahoot.it/details/diagnostico-conocimientos-nuevos-2026/8e029290-68cc-4c5a-8244-75521d44627a?drawer="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2"/>
    </row>
    <row r="2" ht="15.75" customHeight="1">
      <c r="A2" s="2"/>
      <c r="B2" s="4" t="s">
        <v>1</v>
      </c>
    </row>
    <row r="3" ht="15.75" customHeight="1">
      <c r="A3" s="2"/>
    </row>
    <row r="4" ht="15.75" customHeight="1">
      <c r="A4" s="2"/>
      <c r="B4" s="5" t="s">
        <v>2</v>
      </c>
      <c r="C4" s="8" t="s">
        <v>4</v>
      </c>
    </row>
    <row r="5">
      <c r="A5" s="2"/>
      <c r="B5" s="10" t="s">
        <v>5</v>
      </c>
      <c r="C5" s="11" t="s">
        <v>7</v>
      </c>
    </row>
    <row r="6">
      <c r="A6" s="2"/>
      <c r="B6" s="10" t="s">
        <v>8</v>
      </c>
    </row>
    <row r="7" ht="15.75" customHeight="1">
      <c r="A7" s="2"/>
    </row>
    <row r="8" ht="15.75" customHeight="1">
      <c r="A8" s="13" t="s">
        <v>9</v>
      </c>
    </row>
    <row r="9" ht="15.75" customHeight="1">
      <c r="A9" s="13" t="s">
        <v>10</v>
      </c>
    </row>
    <row r="10">
      <c r="A10" s="17" t="s">
        <v>11</v>
      </c>
      <c r="B10" s="17" t="s">
        <v>14</v>
      </c>
      <c r="C10" s="17" t="s">
        <v>15</v>
      </c>
      <c r="D10" s="23" t="s">
        <v>16</v>
      </c>
      <c r="E10" s="24"/>
      <c r="F10" s="25"/>
      <c r="G10" s="28" t="s">
        <v>22</v>
      </c>
    </row>
    <row r="11">
      <c r="A11" s="32" t="s">
        <v>28</v>
      </c>
      <c r="B11" s="38">
        <f>S.2!C7+S.3!C7+S.4!C7+S.5!C7+S.6!C7+S.7!C7+S.8!C7+S.9!C7+S.10!C7+S.11!C7</f>
        <v>0</v>
      </c>
      <c r="C11" s="42">
        <f>S.2!C6+S.3!C6+S.4!C6+S.5!C6+S.6!C6+S.7!C6+S.8!C6+S.9!C6+S.10!C6+S.11!C6</f>
        <v>1107</v>
      </c>
      <c r="D11" s="45"/>
      <c r="E11" s="24"/>
      <c r="F11" s="25"/>
      <c r="G11" s="48">
        <v>10.0</v>
      </c>
    </row>
    <row r="12" ht="15.75" customHeight="1">
      <c r="A12" s="51" t="s">
        <v>100</v>
      </c>
      <c r="B12" s="38">
        <f>Proyectos!C6</f>
        <v>60</v>
      </c>
      <c r="C12" s="42">
        <f>Proyectos!C5</f>
        <v>50</v>
      </c>
      <c r="D12" s="57" t="s">
        <v>114</v>
      </c>
      <c r="E12" s="24"/>
      <c r="F12" s="25"/>
      <c r="G12" s="48">
        <v>60.0</v>
      </c>
    </row>
    <row r="13" ht="15.75" customHeight="1">
      <c r="A13" s="51" t="s">
        <v>122</v>
      </c>
      <c r="B13" s="62">
        <v>30.0</v>
      </c>
      <c r="C13" s="42">
        <f>Practicas!C5</f>
        <v>17</v>
      </c>
      <c r="D13" s="57" t="s">
        <v>128</v>
      </c>
      <c r="E13" s="24"/>
      <c r="F13" s="25"/>
      <c r="G13" s="48">
        <v>20.0</v>
      </c>
    </row>
    <row r="14" ht="15.75" customHeight="1">
      <c r="A14" s="66" t="s">
        <v>129</v>
      </c>
      <c r="B14" s="68">
        <v>10.0</v>
      </c>
      <c r="C14" s="71">
        <v>7.0</v>
      </c>
      <c r="D14" s="74" t="s">
        <v>202</v>
      </c>
      <c r="E14" s="75"/>
      <c r="F14" s="76"/>
      <c r="G14" s="48">
        <v>10.0</v>
      </c>
    </row>
    <row r="15" ht="24.0" customHeight="1">
      <c r="A15" s="78" t="s">
        <v>212</v>
      </c>
      <c r="B15" s="82">
        <f t="shared" ref="B15:C15" si="1">SUM(B11:B14)</f>
        <v>100</v>
      </c>
      <c r="C15" s="82">
        <f t="shared" si="1"/>
        <v>1181</v>
      </c>
      <c r="D15" s="84" t="s">
        <v>219</v>
      </c>
      <c r="E15" s="86"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Prácticas (30&gt;20)")</f>
        <v>❌ Revisar: Exceden: Prácticas (30&gt;20)</v>
      </c>
      <c r="F15" s="88"/>
      <c r="G15" s="89"/>
    </row>
    <row r="16" ht="15.75" customHeight="1">
      <c r="A16" s="2"/>
    </row>
    <row r="17" ht="15.75" customHeight="1">
      <c r="A17" s="2"/>
    </row>
    <row r="18" ht="15.75" customHeight="1">
      <c r="A18" s="2"/>
    </row>
    <row r="19" ht="15.75" customHeight="1">
      <c r="A19" s="2"/>
    </row>
    <row r="20" ht="15.75" customHeight="1">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1"/>
      <c r="B1" s="3" t="s">
        <v>0</v>
      </c>
      <c r="Q1" s="1"/>
      <c r="R1" s="1"/>
      <c r="S1" s="1"/>
      <c r="T1" s="1"/>
      <c r="U1" s="1"/>
      <c r="V1" s="1"/>
      <c r="W1" s="1"/>
      <c r="X1" s="1"/>
      <c r="Y1" s="1"/>
      <c r="Z1" s="1"/>
    </row>
    <row r="2">
      <c r="A2" s="1"/>
      <c r="B2" s="5" t="s">
        <v>2</v>
      </c>
      <c r="C2" s="8" t="s">
        <v>4</v>
      </c>
      <c r="I2" s="1"/>
      <c r="J2" s="1"/>
      <c r="K2" s="1"/>
      <c r="L2" s="1"/>
      <c r="M2" s="1"/>
      <c r="N2" s="1"/>
      <c r="O2" s="1"/>
      <c r="P2" s="1"/>
      <c r="Q2" s="1"/>
      <c r="R2" s="1"/>
      <c r="S2" s="1"/>
      <c r="T2" s="1"/>
      <c r="U2" s="1"/>
      <c r="V2" s="1"/>
      <c r="W2" s="1"/>
      <c r="X2" s="1"/>
      <c r="Y2" s="1"/>
      <c r="Z2" s="1"/>
    </row>
    <row r="3">
      <c r="A3" s="1"/>
      <c r="B3" s="5" t="s">
        <v>5</v>
      </c>
      <c r="C3" s="11" t="s">
        <v>7</v>
      </c>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9" t="s">
        <v>12</v>
      </c>
      <c r="C5" s="15"/>
      <c r="D5" s="15"/>
      <c r="E5" s="15"/>
      <c r="F5" s="15"/>
      <c r="G5" s="18"/>
      <c r="H5" s="1"/>
      <c r="I5" s="19" t="s">
        <v>18</v>
      </c>
      <c r="J5" s="15"/>
      <c r="K5" s="15"/>
      <c r="L5" s="15"/>
      <c r="M5" s="15"/>
      <c r="N5" s="15"/>
      <c r="O5" s="15"/>
      <c r="P5" s="18"/>
      <c r="Q5" s="1"/>
      <c r="R5" s="1"/>
      <c r="S5" s="1"/>
      <c r="T5" s="1"/>
      <c r="U5" s="1"/>
      <c r="V5" s="1"/>
      <c r="W5" s="1"/>
      <c r="X5" s="1"/>
      <c r="Y5" s="1"/>
      <c r="Z5" s="1"/>
    </row>
    <row r="6">
      <c r="A6" s="1"/>
      <c r="B6" s="21">
        <v>1.0</v>
      </c>
      <c r="C6" s="27" t="s">
        <v>20</v>
      </c>
      <c r="D6" s="15"/>
      <c r="E6" s="15"/>
      <c r="F6" s="15"/>
      <c r="G6" s="18"/>
      <c r="H6" s="30"/>
      <c r="I6" s="21">
        <v>1.0</v>
      </c>
      <c r="J6" s="27" t="s">
        <v>31</v>
      </c>
      <c r="K6" s="15"/>
      <c r="L6" s="15"/>
      <c r="M6" s="15"/>
      <c r="N6" s="15"/>
      <c r="O6" s="15"/>
      <c r="P6" s="18"/>
      <c r="Q6" s="1"/>
      <c r="R6" s="1"/>
      <c r="S6" s="1"/>
      <c r="T6" s="1"/>
      <c r="U6" s="1"/>
      <c r="V6" s="1"/>
      <c r="W6" s="1"/>
      <c r="X6" s="1"/>
      <c r="Y6" s="1"/>
      <c r="Z6" s="1"/>
    </row>
    <row r="7">
      <c r="A7" s="1"/>
      <c r="B7" s="34">
        <v>2.0</v>
      </c>
      <c r="C7" s="27" t="s">
        <v>32</v>
      </c>
      <c r="D7" s="15"/>
      <c r="E7" s="15"/>
      <c r="F7" s="15"/>
      <c r="G7" s="18"/>
      <c r="H7" s="1"/>
      <c r="I7" s="39">
        <v>2.0</v>
      </c>
      <c r="J7" s="27" t="s">
        <v>35</v>
      </c>
      <c r="K7" s="15"/>
      <c r="L7" s="15"/>
      <c r="M7" s="15"/>
      <c r="N7" s="15"/>
      <c r="O7" s="15"/>
      <c r="P7" s="18"/>
      <c r="Q7" s="1"/>
      <c r="R7" s="1"/>
      <c r="S7" s="1"/>
      <c r="T7" s="1"/>
      <c r="U7" s="1"/>
      <c r="V7" s="1"/>
      <c r="W7" s="1"/>
      <c r="X7" s="1"/>
      <c r="Y7" s="1"/>
      <c r="Z7" s="1"/>
    </row>
    <row r="8">
      <c r="A8" s="1"/>
      <c r="B8" s="34">
        <v>3.0</v>
      </c>
      <c r="C8" s="27" t="s">
        <v>36</v>
      </c>
      <c r="D8" s="15"/>
      <c r="E8" s="15"/>
      <c r="F8" s="15"/>
      <c r="G8" s="18"/>
      <c r="H8" s="1"/>
      <c r="I8" s="39">
        <v>3.0</v>
      </c>
      <c r="J8" s="27" t="s">
        <v>37</v>
      </c>
      <c r="K8" s="15"/>
      <c r="L8" s="15"/>
      <c r="M8" s="15"/>
      <c r="N8" s="15"/>
      <c r="O8" s="15"/>
      <c r="P8" s="18"/>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44" t="s">
        <v>48</v>
      </c>
      <c r="C11" s="44" t="s">
        <v>68</v>
      </c>
      <c r="D11" s="44" t="s">
        <v>69</v>
      </c>
      <c r="E11" s="47" t="s">
        <v>70</v>
      </c>
      <c r="F11" s="18"/>
      <c r="G11" s="50" t="s">
        <v>95</v>
      </c>
      <c r="H11" s="52" t="s">
        <v>110</v>
      </c>
      <c r="I11" s="18"/>
      <c r="J11" s="44" t="s">
        <v>113</v>
      </c>
      <c r="K11" s="1"/>
      <c r="L11" s="1"/>
      <c r="M11" s="1"/>
      <c r="N11" s="1"/>
      <c r="O11" s="1"/>
      <c r="P11" s="1"/>
      <c r="Q11" s="1"/>
      <c r="R11" s="1"/>
      <c r="S11" s="1"/>
      <c r="T11" s="1"/>
      <c r="U11" s="1"/>
      <c r="V11" s="1"/>
      <c r="W11" s="1"/>
      <c r="X11" s="1"/>
      <c r="Y11" s="1"/>
      <c r="Z11" s="1"/>
    </row>
    <row r="12">
      <c r="A12" s="1"/>
      <c r="B12" s="54">
        <v>1.0</v>
      </c>
      <c r="C12" s="58" t="s">
        <v>116</v>
      </c>
      <c r="D12" s="63" t="s">
        <v>123</v>
      </c>
      <c r="E12" s="67" t="s">
        <v>130</v>
      </c>
      <c r="F12" s="69"/>
      <c r="G12" s="72" t="s">
        <v>183</v>
      </c>
      <c r="H12" s="77" t="s">
        <v>205</v>
      </c>
      <c r="I12" s="79"/>
      <c r="J12" s="81" t="s">
        <v>214</v>
      </c>
      <c r="K12" s="1"/>
      <c r="L12" s="1"/>
      <c r="M12" s="1"/>
      <c r="N12" s="1"/>
      <c r="O12" s="1"/>
      <c r="P12" s="1"/>
      <c r="Q12" s="1"/>
      <c r="R12" s="1"/>
      <c r="S12" s="1"/>
      <c r="T12" s="1"/>
      <c r="U12" s="1"/>
      <c r="V12" s="1"/>
      <c r="W12" s="1"/>
      <c r="X12" s="1"/>
      <c r="Y12" s="1"/>
      <c r="Z12" s="1"/>
    </row>
    <row r="13">
      <c r="A13" s="1"/>
      <c r="B13" s="83"/>
      <c r="C13" s="90" t="str">
        <f>D12 &amp; " " &amp; E12 &amp; " " &amp;G12&amp; " " &amp;H12&amp; " " </f>
        <v>El estudiante describe la arquitectura y los componentes fundamentales de un Sistema Operativo analizando la separación entre el espacio de usuario y el espacio de kernel para establecer las bases conceptuales necesarias para la modificación del sistema. </v>
      </c>
      <c r="D13" s="15"/>
      <c r="E13" s="15"/>
      <c r="F13" s="15"/>
      <c r="G13" s="15"/>
      <c r="H13" s="15"/>
      <c r="I13" s="15"/>
      <c r="J13" s="18"/>
      <c r="K13" s="1"/>
      <c r="L13" s="1"/>
      <c r="M13" s="1"/>
      <c r="N13" s="1"/>
      <c r="O13" s="1"/>
      <c r="P13" s="1"/>
      <c r="Q13" s="1"/>
      <c r="R13" s="1"/>
      <c r="S13" s="1"/>
      <c r="T13" s="1"/>
      <c r="U13" s="1"/>
      <c r="V13" s="1"/>
      <c r="W13" s="1"/>
      <c r="X13" s="1"/>
      <c r="Y13" s="1"/>
      <c r="Z13" s="1"/>
    </row>
    <row r="14">
      <c r="A14" s="1"/>
      <c r="B14" s="54">
        <v>2.0</v>
      </c>
      <c r="C14" s="20" t="s">
        <v>228</v>
      </c>
      <c r="D14" s="63" t="s">
        <v>229</v>
      </c>
      <c r="E14" s="67" t="s">
        <v>230</v>
      </c>
      <c r="F14" s="18"/>
      <c r="G14" s="72" t="s">
        <v>231</v>
      </c>
      <c r="H14" s="77" t="s">
        <v>232</v>
      </c>
      <c r="I14" s="18"/>
      <c r="J14" s="81" t="s">
        <v>233</v>
      </c>
      <c r="K14" s="1"/>
      <c r="L14" s="1"/>
      <c r="M14" s="1"/>
      <c r="N14" s="1"/>
      <c r="O14" s="1"/>
      <c r="P14" s="1"/>
      <c r="Q14" s="1"/>
      <c r="R14" s="1"/>
      <c r="S14" s="1"/>
      <c r="T14" s="1"/>
      <c r="U14" s="1"/>
      <c r="V14" s="1"/>
      <c r="W14" s="1"/>
      <c r="X14" s="1"/>
      <c r="Y14" s="1"/>
      <c r="Z14" s="1"/>
    </row>
    <row r="15">
      <c r="A15" s="1"/>
      <c r="B15" s="83"/>
      <c r="C15" s="90" t="str">
        <f>D14 &amp; " " &amp; E14 &amp; " " &amp;G14&amp; " " &amp;H14&amp; " " </f>
        <v>El estudiante crea módulos de monitoreo del sistema mediante la lectura e interpretación de estructuras internas del kernel para extraer y exponer métricas de rendimiento como uso de CPU, memoria y procesos activos en tiempo real </v>
      </c>
      <c r="D15" s="15"/>
      <c r="E15" s="15"/>
      <c r="F15" s="15"/>
      <c r="G15" s="15"/>
      <c r="H15" s="15"/>
      <c r="I15" s="15"/>
      <c r="J15" s="18"/>
      <c r="K15" s="1"/>
      <c r="L15" s="1"/>
      <c r="M15" s="1"/>
      <c r="N15" s="1"/>
      <c r="O15" s="1"/>
      <c r="P15" s="1"/>
      <c r="Q15" s="1"/>
      <c r="R15" s="1"/>
      <c r="S15" s="1"/>
      <c r="T15" s="1"/>
      <c r="U15" s="1"/>
      <c r="V15" s="1"/>
      <c r="W15" s="1"/>
      <c r="X15" s="1"/>
      <c r="Y15" s="1"/>
      <c r="Z15" s="1"/>
    </row>
    <row r="16">
      <c r="A16" s="1"/>
      <c r="B16" s="54">
        <v>3.0</v>
      </c>
      <c r="C16" s="20" t="s">
        <v>228</v>
      </c>
      <c r="D16" s="63" t="s">
        <v>234</v>
      </c>
      <c r="E16" s="67" t="s">
        <v>235</v>
      </c>
      <c r="F16" s="92"/>
      <c r="G16" s="72" t="s">
        <v>236</v>
      </c>
      <c r="H16" s="77" t="s">
        <v>237</v>
      </c>
      <c r="I16" s="93"/>
      <c r="J16" s="81" t="s">
        <v>238</v>
      </c>
      <c r="K16" s="1"/>
      <c r="L16" s="1"/>
      <c r="M16" s="1"/>
      <c r="N16" s="1"/>
      <c r="O16" s="1"/>
      <c r="P16" s="1"/>
      <c r="Q16" s="1"/>
      <c r="R16" s="1"/>
      <c r="S16" s="1"/>
      <c r="T16" s="1"/>
      <c r="U16" s="1"/>
      <c r="V16" s="1"/>
      <c r="W16" s="1"/>
      <c r="X16" s="1"/>
      <c r="Y16" s="1"/>
      <c r="Z16" s="1"/>
    </row>
    <row r="17">
      <c r="A17" s="1"/>
      <c r="B17" s="83"/>
      <c r="C17" s="90" t="str">
        <f>D16 &amp; " " &amp; E16 &amp; " " &amp;G16&amp; " " &amp;H16&amp; " " </f>
        <v>El estudiante desarrolla aplicaciones multihilo que gestionan de forma segura el acceso a recursos compartidos mediante la implementación de la API de PThreads y el uso de primitivas de sincronización como mutexes y semáforos para evitar condiciones de carrera, asegurar la consistencia de datos y prevenir interbloqueos (deadlocks). </v>
      </c>
      <c r="D17" s="15"/>
      <c r="E17" s="15"/>
      <c r="F17" s="15"/>
      <c r="G17" s="15"/>
      <c r="H17" s="15"/>
      <c r="I17" s="15"/>
      <c r="J17" s="18"/>
      <c r="K17" s="1"/>
      <c r="L17" s="1"/>
      <c r="M17" s="1"/>
      <c r="N17" s="1"/>
      <c r="O17" s="1"/>
      <c r="P17" s="1"/>
      <c r="Q17" s="1"/>
      <c r="R17" s="1"/>
      <c r="S17" s="1"/>
      <c r="T17" s="1"/>
      <c r="U17" s="1"/>
      <c r="V17" s="1"/>
      <c r="W17" s="1"/>
      <c r="X17" s="1"/>
      <c r="Y17" s="1"/>
      <c r="Z17" s="1"/>
    </row>
    <row r="18">
      <c r="A18" s="1"/>
      <c r="B18" s="54">
        <v>4.0</v>
      </c>
      <c r="C18" s="20" t="s">
        <v>228</v>
      </c>
      <c r="D18" s="63" t="s">
        <v>239</v>
      </c>
      <c r="E18" s="67" t="s">
        <v>240</v>
      </c>
      <c r="F18" s="92"/>
      <c r="G18" s="72" t="s">
        <v>241</v>
      </c>
      <c r="H18" s="77" t="s">
        <v>242</v>
      </c>
      <c r="I18" s="18"/>
      <c r="J18" s="81" t="s">
        <v>243</v>
      </c>
      <c r="K18" s="1"/>
      <c r="L18" s="1"/>
      <c r="M18" s="1"/>
      <c r="N18" s="1"/>
      <c r="O18" s="1"/>
      <c r="P18" s="1"/>
      <c r="Q18" s="1"/>
      <c r="R18" s="1"/>
      <c r="S18" s="1"/>
      <c r="T18" s="1"/>
      <c r="U18" s="1"/>
      <c r="V18" s="1"/>
      <c r="W18" s="1"/>
      <c r="X18" s="1"/>
      <c r="Y18" s="1"/>
      <c r="Z18" s="1"/>
    </row>
    <row r="19">
      <c r="A19" s="1"/>
      <c r="B19" s="83"/>
      <c r="C19" s="90" t="str">
        <f>D18 &amp; " " &amp; E18 &amp; " " &amp;G18&amp; " " &amp;H18&amp; " " </f>
        <v>El estudiante analiza la asignación de memoria física y lógica junto con el mapeo de direcciones en el sistema mediante el empleo de la MMU, tablas de páginas y algoritmos de reemplazo como FIFO o LRU para garantizar el aislamiento de procesos, prevenir la fragmentación y minimizar los fallos de página. </v>
      </c>
      <c r="D19" s="15"/>
      <c r="E19" s="15"/>
      <c r="F19" s="15"/>
      <c r="G19" s="15"/>
      <c r="H19" s="15"/>
      <c r="I19" s="15"/>
      <c r="J19" s="18"/>
      <c r="K19" s="1"/>
      <c r="L19" s="1"/>
      <c r="M19" s="1"/>
      <c r="N19" s="1"/>
      <c r="O19" s="1"/>
      <c r="P19" s="1"/>
      <c r="Q19" s="1"/>
      <c r="R19" s="1"/>
      <c r="S19" s="1"/>
      <c r="T19" s="1"/>
      <c r="U19" s="1"/>
      <c r="V19" s="1"/>
      <c r="W19" s="1"/>
      <c r="X19" s="1"/>
      <c r="Y19" s="1"/>
      <c r="Z19" s="1"/>
    </row>
    <row r="20">
      <c r="A20" s="1"/>
      <c r="B20" s="54">
        <v>5.0</v>
      </c>
      <c r="C20" s="58" t="s">
        <v>116</v>
      </c>
      <c r="D20" s="63" t="s">
        <v>244</v>
      </c>
      <c r="E20" s="67" t="s">
        <v>245</v>
      </c>
      <c r="F20" s="18"/>
      <c r="G20" s="72" t="s">
        <v>246</v>
      </c>
      <c r="H20" s="77" t="s">
        <v>247</v>
      </c>
      <c r="I20" s="18"/>
      <c r="J20" s="81" t="s">
        <v>248</v>
      </c>
      <c r="K20" s="1"/>
      <c r="L20" s="1"/>
      <c r="M20" s="1"/>
      <c r="N20" s="1"/>
      <c r="O20" s="1"/>
      <c r="P20" s="1"/>
      <c r="Q20" s="1"/>
      <c r="R20" s="1"/>
      <c r="S20" s="1"/>
      <c r="T20" s="1"/>
      <c r="U20" s="1"/>
      <c r="V20" s="1"/>
      <c r="W20" s="1"/>
      <c r="X20" s="1"/>
      <c r="Y20" s="1"/>
      <c r="Z20" s="1"/>
    </row>
    <row r="21">
      <c r="A21" s="1"/>
      <c r="B21" s="83"/>
      <c r="C21" s="90" t="str">
        <f>D20 &amp; " " &amp; E20 &amp; " " &amp;G20&amp; " " &amp;H20&amp; " " </f>
        <v>El estudiante evalúa las capacidades, limitaciones y características de seguridad de distintos sistemas operativos mediante la identificación de sus fortalezas, vulnerabilidades conocidas y mecanismos de protección (SELinux, AppArmor, namespaces) para seleccionarlos y aplicarlos estratégicamente, considerando criterios de seguridad, en proyectos y tareas profesionales. </v>
      </c>
      <c r="D21" s="15"/>
      <c r="E21" s="15"/>
      <c r="F21" s="15"/>
      <c r="G21" s="15"/>
      <c r="H21" s="15"/>
      <c r="I21" s="15"/>
      <c r="J21" s="18"/>
      <c r="K21" s="94"/>
      <c r="L21" s="1"/>
      <c r="M21" s="1"/>
      <c r="N21" s="1"/>
      <c r="O21" s="1"/>
      <c r="P21" s="1"/>
      <c r="Q21" s="1"/>
      <c r="R21" s="1"/>
      <c r="S21" s="1"/>
      <c r="T21" s="1"/>
      <c r="U21" s="1"/>
      <c r="V21" s="1"/>
      <c r="W21" s="1"/>
      <c r="X21" s="1"/>
      <c r="Y21" s="1"/>
      <c r="Z21" s="1"/>
    </row>
    <row r="22">
      <c r="A22" s="1"/>
      <c r="B22" s="54">
        <v>6.0</v>
      </c>
      <c r="C22" s="20" t="s">
        <v>228</v>
      </c>
      <c r="D22" s="63" t="s">
        <v>249</v>
      </c>
      <c r="E22" s="67" t="s">
        <v>250</v>
      </c>
      <c r="F22" s="69"/>
      <c r="G22" s="72" t="s">
        <v>251</v>
      </c>
      <c r="H22" s="77" t="s">
        <v>252</v>
      </c>
      <c r="I22" s="18"/>
      <c r="J22" s="81" t="s">
        <v>233</v>
      </c>
      <c r="K22" s="1"/>
      <c r="L22" s="1"/>
      <c r="M22" s="1"/>
      <c r="N22" s="1"/>
      <c r="O22" s="1"/>
      <c r="P22" s="1"/>
      <c r="Q22" s="1"/>
      <c r="R22" s="1"/>
      <c r="S22" s="1"/>
      <c r="T22" s="1"/>
      <c r="U22" s="1"/>
      <c r="V22" s="1"/>
      <c r="W22" s="1"/>
      <c r="X22" s="1"/>
      <c r="Y22" s="1"/>
      <c r="Z22" s="1"/>
    </row>
    <row r="23">
      <c r="A23" s="1"/>
      <c r="B23" s="83"/>
      <c r="C23" s="90" t="str">
        <f>D22 &amp; " " &amp; E22 &amp; " " &amp;G22&amp; " " &amp;H22&amp; " " </f>
        <v>El estudiante implementa nuevas llamadas al sistema (syscalls) y servicios personalizados dentro del núcleo, aplicando buenas prácticas de seguridad mediante la modificación del código fuente del kernel de Linux, la creación de módulos y el uso seguro de copy_from_user / copy_to_user para prevenir buffer overflows y escaladas de privilegios para extender la funcionalidad del sistema operativo permitiendo una comunicación eficiente y segura entre el espacio de usuario y el espacio de kernel. </v>
      </c>
      <c r="D23" s="15"/>
      <c r="E23" s="15"/>
      <c r="F23" s="15"/>
      <c r="G23" s="15"/>
      <c r="H23" s="15"/>
      <c r="I23" s="15"/>
      <c r="J23" s="18"/>
      <c r="K23" s="1"/>
      <c r="L23" s="1"/>
      <c r="M23" s="1"/>
      <c r="N23" s="1"/>
      <c r="O23" s="1"/>
      <c r="P23" s="1"/>
      <c r="Q23" s="1"/>
      <c r="R23" s="1"/>
      <c r="S23" s="1"/>
      <c r="T23" s="1"/>
      <c r="U23" s="1"/>
      <c r="V23" s="1"/>
      <c r="W23" s="1"/>
      <c r="X23" s="1"/>
      <c r="Y23" s="1"/>
      <c r="Z23" s="1"/>
    </row>
    <row r="24">
      <c r="A24" s="1"/>
      <c r="B24" s="54">
        <v>7.0</v>
      </c>
      <c r="C24" s="20" t="s">
        <v>228</v>
      </c>
      <c r="D24" s="63" t="s">
        <v>253</v>
      </c>
      <c r="E24" s="67" t="s">
        <v>254</v>
      </c>
      <c r="F24" s="18"/>
      <c r="G24" s="72" t="s">
        <v>256</v>
      </c>
      <c r="H24" s="77" t="s">
        <v>257</v>
      </c>
      <c r="I24" s="18"/>
      <c r="J24" s="81" t="s">
        <v>233</v>
      </c>
      <c r="K24" s="1"/>
      <c r="L24" s="1"/>
      <c r="M24" s="1"/>
      <c r="N24" s="1"/>
      <c r="O24" s="1"/>
      <c r="P24" s="1"/>
      <c r="Q24" s="1"/>
      <c r="R24" s="1"/>
      <c r="S24" s="1"/>
      <c r="T24" s="1"/>
      <c r="U24" s="1"/>
      <c r="V24" s="1"/>
      <c r="W24" s="1"/>
      <c r="X24" s="1"/>
      <c r="Y24" s="1"/>
      <c r="Z24" s="1"/>
    </row>
    <row r="25">
      <c r="A25" s="1"/>
      <c r="B25" s="83"/>
      <c r="C25" s="90" t="str">
        <f>D24 &amp; " " &amp; E24 &amp; " " &amp;G24&amp; " " &amp;H24&amp; " " </f>
        <v>El estudiante diseña aplicaciones en espacio de usuario integrando llamadas al sistema y el sistema de archivos /proc para generar comunicación eficiente entre el kernel y los procesos de usuario expandiendo las capacidades del sistema operativo </v>
      </c>
      <c r="D25" s="15"/>
      <c r="E25" s="15"/>
      <c r="F25" s="15"/>
      <c r="G25" s="15"/>
      <c r="H25" s="15"/>
      <c r="I25" s="15"/>
      <c r="J25" s="18"/>
      <c r="K25" s="1"/>
      <c r="L25" s="97" t="s">
        <v>258</v>
      </c>
      <c r="M25" s="1"/>
      <c r="N25" s="1"/>
      <c r="O25" s="1"/>
      <c r="P25" s="1"/>
      <c r="Q25" s="1"/>
      <c r="R25" s="1"/>
      <c r="S25" s="1"/>
      <c r="T25" s="1"/>
      <c r="U25" s="1"/>
      <c r="V25" s="1"/>
      <c r="W25" s="1"/>
      <c r="X25" s="1"/>
      <c r="Y25" s="1"/>
      <c r="Z25" s="1"/>
    </row>
    <row r="26">
      <c r="A26" s="1"/>
      <c r="B26" s="1"/>
      <c r="C26" s="1"/>
      <c r="D26" s="1"/>
      <c r="E26" s="1"/>
      <c r="F26" s="1"/>
      <c r="G26" s="1"/>
      <c r="H26" s="1"/>
      <c r="I26" s="1"/>
      <c r="J26" s="1"/>
      <c r="K26" s="1"/>
      <c r="L26" s="97" t="s">
        <v>260</v>
      </c>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98" t="s">
        <v>262</v>
      </c>
      <c r="C28" s="15"/>
      <c r="D28" s="15"/>
      <c r="E28" s="15"/>
      <c r="F28" s="15"/>
      <c r="G28" s="15"/>
      <c r="H28" s="15"/>
      <c r="I28" s="15"/>
      <c r="J28" s="18"/>
      <c r="K28" s="1"/>
      <c r="L28" s="1"/>
      <c r="M28" s="1"/>
      <c r="N28" s="1"/>
      <c r="O28" s="1"/>
      <c r="P28" s="1"/>
      <c r="Q28" s="1"/>
      <c r="R28" s="1"/>
      <c r="S28" s="1"/>
      <c r="T28" s="1"/>
      <c r="U28" s="1"/>
      <c r="V28" s="1"/>
      <c r="W28" s="1"/>
      <c r="X28" s="1"/>
      <c r="Y28" s="1"/>
      <c r="Z28" s="1"/>
    </row>
    <row r="29">
      <c r="A29" s="1"/>
      <c r="B29" s="99"/>
      <c r="C29" s="100"/>
      <c r="D29" s="100"/>
      <c r="E29" s="100"/>
      <c r="F29" s="100"/>
      <c r="G29" s="100"/>
      <c r="H29" s="100"/>
      <c r="I29" s="100"/>
      <c r="J29" s="102"/>
      <c r="K29" s="1"/>
      <c r="L29" s="1"/>
      <c r="M29" s="1"/>
      <c r="N29" s="1"/>
      <c r="O29" s="1"/>
      <c r="P29" s="1"/>
      <c r="Q29" s="1"/>
      <c r="R29" s="1"/>
      <c r="S29" s="1"/>
      <c r="T29" s="1"/>
      <c r="U29" s="1"/>
      <c r="V29" s="1"/>
      <c r="W29" s="1"/>
      <c r="X29" s="1"/>
      <c r="Y29" s="1"/>
      <c r="Z29" s="1"/>
    </row>
    <row r="30">
      <c r="A30" s="1"/>
      <c r="B30" s="104"/>
      <c r="C30" s="105"/>
      <c r="D30" s="105"/>
      <c r="E30" s="105"/>
      <c r="F30" s="105"/>
      <c r="G30" s="105"/>
      <c r="H30" s="105"/>
      <c r="I30" s="105"/>
      <c r="J30" s="107"/>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30">
    <mergeCell ref="J6:P6"/>
    <mergeCell ref="J7:P7"/>
    <mergeCell ref="B1:P1"/>
    <mergeCell ref="C2:H2"/>
    <mergeCell ref="C3:H3"/>
    <mergeCell ref="B5:G5"/>
    <mergeCell ref="I5:P5"/>
    <mergeCell ref="C6:G6"/>
    <mergeCell ref="C7:G7"/>
    <mergeCell ref="C8:G8"/>
    <mergeCell ref="J8:P8"/>
    <mergeCell ref="E11:F11"/>
    <mergeCell ref="H11:I11"/>
    <mergeCell ref="C13:J13"/>
    <mergeCell ref="E14:F14"/>
    <mergeCell ref="H14:I14"/>
    <mergeCell ref="H22:I22"/>
    <mergeCell ref="C23:J23"/>
    <mergeCell ref="E24:F24"/>
    <mergeCell ref="H24:I24"/>
    <mergeCell ref="C25:J25"/>
    <mergeCell ref="B28:J28"/>
    <mergeCell ref="B29:J30"/>
    <mergeCell ref="C15:J15"/>
    <mergeCell ref="C17:J17"/>
    <mergeCell ref="H18:I18"/>
    <mergeCell ref="C19:J19"/>
    <mergeCell ref="E20:F20"/>
    <mergeCell ref="H20:I20"/>
    <mergeCell ref="C21:J21"/>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60.0"/>
    <col customWidth="1" min="4" max="4" width="32.38"/>
    <col customWidth="1" min="5" max="5" width="30.88"/>
    <col customWidth="1" min="6" max="6" width="84.0"/>
  </cols>
  <sheetData>
    <row r="1" ht="15.75" customHeight="1"/>
    <row r="2" ht="15.75" customHeight="1">
      <c r="A2" s="6"/>
      <c r="B2" s="7" t="s">
        <v>3</v>
      </c>
    </row>
    <row r="3" ht="15.75" customHeight="1"/>
    <row r="4" ht="15.75" customHeight="1">
      <c r="B4" s="5" t="s">
        <v>2</v>
      </c>
      <c r="C4" s="8" t="s">
        <v>4</v>
      </c>
    </row>
    <row r="5" ht="15.75" customHeight="1">
      <c r="B5" s="5" t="s">
        <v>6</v>
      </c>
      <c r="C5" s="11" t="s">
        <v>7</v>
      </c>
    </row>
    <row r="6" ht="15.75" customHeight="1">
      <c r="H6" s="12"/>
    </row>
    <row r="7" ht="15.75" customHeight="1">
      <c r="H7" s="12"/>
    </row>
    <row r="8" ht="15.75" customHeight="1">
      <c r="A8" s="16"/>
      <c r="B8" s="20" t="s">
        <v>13</v>
      </c>
      <c r="C8" s="26" t="s">
        <v>19</v>
      </c>
      <c r="D8" s="20" t="s">
        <v>23</v>
      </c>
      <c r="E8" s="20" t="s">
        <v>24</v>
      </c>
      <c r="F8" s="20" t="s">
        <v>25</v>
      </c>
      <c r="G8" s="20" t="s">
        <v>26</v>
      </c>
      <c r="H8" s="20" t="s">
        <v>17</v>
      </c>
    </row>
    <row r="9" ht="87.0" customHeight="1">
      <c r="B9" s="29">
        <v>1.0</v>
      </c>
      <c r="C9" s="33" t="s">
        <v>29</v>
      </c>
      <c r="D9" s="36"/>
      <c r="E9" s="36"/>
      <c r="F9" s="36"/>
      <c r="G9" s="40" t="s">
        <v>34</v>
      </c>
      <c r="H9" s="33">
        <v>1.0</v>
      </c>
    </row>
    <row r="10" ht="49.5" customHeight="1">
      <c r="B10" s="29">
        <v>2.0</v>
      </c>
      <c r="C10" s="33" t="s">
        <v>29</v>
      </c>
      <c r="D10" s="36"/>
      <c r="E10" s="36"/>
      <c r="F10" s="36"/>
      <c r="G10" s="40" t="s">
        <v>34</v>
      </c>
      <c r="H10" s="33">
        <v>1.0</v>
      </c>
    </row>
    <row r="11" ht="15.75" customHeight="1">
      <c r="B11" s="29">
        <v>3.0</v>
      </c>
      <c r="C11" s="33" t="s">
        <v>29</v>
      </c>
      <c r="D11" s="40" t="s">
        <v>38</v>
      </c>
      <c r="E11" s="40" t="s">
        <v>39</v>
      </c>
      <c r="F11" s="40" t="s">
        <v>40</v>
      </c>
      <c r="G11" s="40" t="s">
        <v>34</v>
      </c>
      <c r="H11" s="33">
        <v>2.0</v>
      </c>
    </row>
    <row r="12" ht="15.75" customHeight="1">
      <c r="B12" s="29">
        <v>4.0</v>
      </c>
      <c r="C12" s="33" t="s">
        <v>29</v>
      </c>
      <c r="D12" s="40" t="s">
        <v>38</v>
      </c>
      <c r="E12" s="40" t="s">
        <v>39</v>
      </c>
      <c r="F12" s="40" t="s">
        <v>41</v>
      </c>
      <c r="G12" s="40" t="s">
        <v>34</v>
      </c>
      <c r="H12" s="33">
        <v>2.0</v>
      </c>
    </row>
    <row r="13" ht="15.75" customHeight="1">
      <c r="B13" s="29">
        <v>5.0</v>
      </c>
      <c r="C13" s="33" t="s">
        <v>29</v>
      </c>
      <c r="D13" s="40" t="s">
        <v>38</v>
      </c>
      <c r="E13" s="40" t="s">
        <v>42</v>
      </c>
      <c r="F13" s="40" t="s">
        <v>43</v>
      </c>
      <c r="G13" s="40" t="s">
        <v>34</v>
      </c>
      <c r="H13" s="33">
        <v>2.0</v>
      </c>
    </row>
    <row r="14" ht="15.75" customHeight="1">
      <c r="B14" s="29">
        <v>6.0</v>
      </c>
      <c r="C14" s="33" t="s">
        <v>29</v>
      </c>
      <c r="D14" s="40" t="s">
        <v>38</v>
      </c>
      <c r="E14" s="40" t="s">
        <v>42</v>
      </c>
      <c r="F14" s="40" t="s">
        <v>44</v>
      </c>
      <c r="G14" s="40" t="s">
        <v>34</v>
      </c>
      <c r="H14" s="33">
        <v>2.0</v>
      </c>
    </row>
    <row r="15" ht="15.75" customHeight="1">
      <c r="B15" s="29">
        <v>7.0</v>
      </c>
      <c r="C15" s="33" t="s">
        <v>29</v>
      </c>
      <c r="D15" s="40" t="s">
        <v>38</v>
      </c>
      <c r="E15" s="40" t="s">
        <v>46</v>
      </c>
      <c r="F15" s="40" t="s">
        <v>47</v>
      </c>
      <c r="G15" s="40" t="s">
        <v>34</v>
      </c>
      <c r="H15" s="33">
        <v>2.0</v>
      </c>
    </row>
    <row r="16" ht="15.75" customHeight="1">
      <c r="B16" s="29">
        <v>8.0</v>
      </c>
      <c r="C16" s="33" t="s">
        <v>29</v>
      </c>
      <c r="D16" s="40" t="s">
        <v>38</v>
      </c>
      <c r="E16" s="40" t="s">
        <v>46</v>
      </c>
      <c r="F16" s="40" t="s">
        <v>49</v>
      </c>
      <c r="G16" s="40" t="s">
        <v>34</v>
      </c>
      <c r="H16" s="33">
        <v>2.0</v>
      </c>
    </row>
    <row r="17" ht="15.75" customHeight="1">
      <c r="B17" s="29">
        <v>9.0</v>
      </c>
      <c r="C17" s="33" t="s">
        <v>29</v>
      </c>
      <c r="D17" s="40" t="s">
        <v>38</v>
      </c>
      <c r="E17" s="40" t="s">
        <v>46</v>
      </c>
      <c r="F17" s="40" t="s">
        <v>50</v>
      </c>
      <c r="G17" s="40" t="s">
        <v>34</v>
      </c>
      <c r="H17" s="33">
        <v>2.0</v>
      </c>
    </row>
    <row r="18" ht="15.75" customHeight="1">
      <c r="B18" s="29">
        <v>10.0</v>
      </c>
      <c r="C18" s="33" t="s">
        <v>51</v>
      </c>
      <c r="D18" s="40" t="s">
        <v>52</v>
      </c>
      <c r="E18" s="40" t="s">
        <v>53</v>
      </c>
      <c r="F18" s="40" t="s">
        <v>54</v>
      </c>
      <c r="G18" s="40" t="s">
        <v>34</v>
      </c>
      <c r="H18" s="33">
        <v>3.0</v>
      </c>
    </row>
    <row r="19" ht="15.75" customHeight="1">
      <c r="B19" s="29">
        <v>11.0</v>
      </c>
      <c r="C19" s="33" t="s">
        <v>51</v>
      </c>
      <c r="D19" s="40" t="s">
        <v>52</v>
      </c>
      <c r="E19" s="40" t="s">
        <v>53</v>
      </c>
      <c r="F19" s="40" t="s">
        <v>55</v>
      </c>
      <c r="G19" s="40" t="s">
        <v>34</v>
      </c>
      <c r="H19" s="33">
        <v>3.0</v>
      </c>
    </row>
    <row r="20" ht="15.75" customHeight="1">
      <c r="B20" s="29">
        <v>12.0</v>
      </c>
      <c r="C20" s="33" t="s">
        <v>51</v>
      </c>
      <c r="D20" s="40" t="s">
        <v>52</v>
      </c>
      <c r="E20" s="40" t="s">
        <v>53</v>
      </c>
      <c r="F20" s="40" t="s">
        <v>56</v>
      </c>
      <c r="G20" s="40" t="s">
        <v>34</v>
      </c>
      <c r="H20" s="33">
        <v>3.0</v>
      </c>
    </row>
    <row r="21" ht="15.75" customHeight="1">
      <c r="B21" s="29">
        <v>13.0</v>
      </c>
      <c r="C21" s="33" t="s">
        <v>51</v>
      </c>
      <c r="D21" s="40" t="s">
        <v>52</v>
      </c>
      <c r="E21" s="40" t="s">
        <v>57</v>
      </c>
      <c r="F21" s="40" t="s">
        <v>58</v>
      </c>
      <c r="G21" s="40" t="s">
        <v>34</v>
      </c>
      <c r="H21" s="33">
        <v>3.0</v>
      </c>
    </row>
    <row r="22" ht="15.75" customHeight="1">
      <c r="B22" s="29">
        <v>14.0</v>
      </c>
      <c r="C22" s="33" t="s">
        <v>51</v>
      </c>
      <c r="D22" s="40" t="s">
        <v>52</v>
      </c>
      <c r="E22" s="40" t="s">
        <v>57</v>
      </c>
      <c r="F22" s="40" t="s">
        <v>59</v>
      </c>
      <c r="G22" s="40" t="s">
        <v>34</v>
      </c>
      <c r="H22" s="33">
        <v>3.0</v>
      </c>
    </row>
    <row r="23" ht="15.75" customHeight="1">
      <c r="B23" s="29">
        <v>15.0</v>
      </c>
      <c r="C23" s="33" t="s">
        <v>51</v>
      </c>
      <c r="D23" s="40" t="s">
        <v>52</v>
      </c>
      <c r="E23" s="40" t="s">
        <v>57</v>
      </c>
      <c r="F23" s="40" t="s">
        <v>61</v>
      </c>
      <c r="G23" s="40" t="s">
        <v>34</v>
      </c>
      <c r="H23" s="33">
        <v>3.0</v>
      </c>
    </row>
    <row r="24" ht="15.75" customHeight="1">
      <c r="B24" s="29">
        <v>16.0</v>
      </c>
      <c r="C24" s="33" t="s">
        <v>51</v>
      </c>
      <c r="D24" s="40" t="s">
        <v>52</v>
      </c>
      <c r="E24" s="40" t="s">
        <v>57</v>
      </c>
      <c r="F24" s="40" t="s">
        <v>62</v>
      </c>
      <c r="G24" s="40" t="s">
        <v>34</v>
      </c>
      <c r="H24" s="33">
        <v>3.0</v>
      </c>
    </row>
    <row r="25" ht="15.75" customHeight="1">
      <c r="B25" s="29">
        <v>17.0</v>
      </c>
      <c r="C25" s="33" t="s">
        <v>63</v>
      </c>
      <c r="D25" s="40" t="s">
        <v>64</v>
      </c>
      <c r="E25" s="40" t="s">
        <v>65</v>
      </c>
      <c r="F25" s="40" t="s">
        <v>66</v>
      </c>
      <c r="G25" s="40" t="s">
        <v>67</v>
      </c>
      <c r="H25" s="33">
        <v>4.0</v>
      </c>
    </row>
    <row r="26" ht="15.75" customHeight="1">
      <c r="B26" s="29">
        <v>18.0</v>
      </c>
      <c r="C26" s="33" t="s">
        <v>63</v>
      </c>
      <c r="D26" s="40" t="s">
        <v>64</v>
      </c>
      <c r="E26" s="40" t="s">
        <v>65</v>
      </c>
      <c r="F26" s="40" t="s">
        <v>71</v>
      </c>
      <c r="G26" s="40" t="s">
        <v>67</v>
      </c>
      <c r="H26" s="33">
        <v>4.0</v>
      </c>
    </row>
    <row r="27" ht="15.75" customHeight="1">
      <c r="B27" s="29">
        <v>19.0</v>
      </c>
      <c r="C27" s="33" t="s">
        <v>63</v>
      </c>
      <c r="D27" s="40" t="s">
        <v>64</v>
      </c>
      <c r="E27" s="40" t="s">
        <v>65</v>
      </c>
      <c r="F27" s="40" t="s">
        <v>72</v>
      </c>
      <c r="G27" s="40" t="s">
        <v>67</v>
      </c>
      <c r="H27" s="33">
        <v>4.0</v>
      </c>
    </row>
    <row r="28" ht="15.75" customHeight="1">
      <c r="B28" s="29">
        <v>20.0</v>
      </c>
      <c r="C28" s="33" t="s">
        <v>63</v>
      </c>
      <c r="D28" s="40" t="s">
        <v>64</v>
      </c>
      <c r="E28" s="40" t="s">
        <v>73</v>
      </c>
      <c r="F28" s="40" t="s">
        <v>74</v>
      </c>
      <c r="G28" s="40" t="s">
        <v>67</v>
      </c>
      <c r="H28" s="33">
        <v>4.0</v>
      </c>
    </row>
    <row r="29" ht="15.75" customHeight="1">
      <c r="B29" s="29">
        <v>21.0</v>
      </c>
      <c r="C29" s="33" t="s">
        <v>63</v>
      </c>
      <c r="D29" s="40" t="s">
        <v>64</v>
      </c>
      <c r="E29" s="40" t="s">
        <v>75</v>
      </c>
      <c r="F29" s="40" t="s">
        <v>76</v>
      </c>
      <c r="G29" s="40" t="s">
        <v>67</v>
      </c>
      <c r="H29" s="33">
        <v>4.0</v>
      </c>
    </row>
    <row r="30" ht="15.75" customHeight="1">
      <c r="B30" s="29">
        <v>22.0</v>
      </c>
      <c r="C30" s="33" t="s">
        <v>63</v>
      </c>
      <c r="D30" s="40" t="s">
        <v>64</v>
      </c>
      <c r="E30" s="40" t="s">
        <v>75</v>
      </c>
      <c r="F30" s="40" t="s">
        <v>77</v>
      </c>
      <c r="G30" s="40" t="s">
        <v>67</v>
      </c>
      <c r="H30" s="33">
        <v>4.0</v>
      </c>
    </row>
    <row r="31" ht="15.75" customHeight="1">
      <c r="B31" s="29">
        <v>23.0</v>
      </c>
      <c r="C31" s="33" t="s">
        <v>63</v>
      </c>
      <c r="D31" s="40" t="s">
        <v>64</v>
      </c>
      <c r="E31" s="40" t="s">
        <v>78</v>
      </c>
      <c r="F31" s="40" t="s">
        <v>79</v>
      </c>
      <c r="G31" s="40" t="s">
        <v>67</v>
      </c>
      <c r="H31" s="33">
        <v>4.0</v>
      </c>
    </row>
    <row r="32" ht="15.75" customHeight="1">
      <c r="B32" s="29">
        <v>24.0</v>
      </c>
      <c r="C32" s="33" t="s">
        <v>63</v>
      </c>
      <c r="D32" s="40" t="s">
        <v>64</v>
      </c>
      <c r="E32" s="40" t="s">
        <v>78</v>
      </c>
      <c r="F32" s="40" t="s">
        <v>80</v>
      </c>
      <c r="G32" s="40" t="s">
        <v>67</v>
      </c>
      <c r="H32" s="33">
        <v>4.0</v>
      </c>
    </row>
    <row r="33" ht="15.75" customHeight="1">
      <c r="B33" s="29">
        <v>25.0</v>
      </c>
      <c r="C33" s="33" t="s">
        <v>81</v>
      </c>
      <c r="D33" s="40" t="s">
        <v>82</v>
      </c>
      <c r="E33" s="40" t="s">
        <v>83</v>
      </c>
      <c r="F33" s="40" t="s">
        <v>84</v>
      </c>
      <c r="G33" s="40" t="s">
        <v>67</v>
      </c>
      <c r="H33" s="33">
        <v>5.0</v>
      </c>
    </row>
    <row r="34" ht="15.75" customHeight="1">
      <c r="B34" s="29">
        <v>26.0</v>
      </c>
      <c r="C34" s="33" t="s">
        <v>81</v>
      </c>
      <c r="D34" s="40" t="s">
        <v>82</v>
      </c>
      <c r="E34" s="40" t="s">
        <v>83</v>
      </c>
      <c r="F34" s="40" t="s">
        <v>85</v>
      </c>
      <c r="G34" s="40" t="s">
        <v>67</v>
      </c>
      <c r="H34" s="33">
        <v>5.0</v>
      </c>
    </row>
    <row r="35" ht="15.75" customHeight="1">
      <c r="B35" s="29">
        <v>27.0</v>
      </c>
      <c r="C35" s="33" t="s">
        <v>81</v>
      </c>
      <c r="D35" s="40" t="s">
        <v>82</v>
      </c>
      <c r="E35" s="40" t="s">
        <v>87</v>
      </c>
      <c r="F35" s="40" t="s">
        <v>88</v>
      </c>
      <c r="G35" s="40" t="s">
        <v>67</v>
      </c>
      <c r="H35" s="33">
        <v>5.0</v>
      </c>
    </row>
    <row r="36" ht="15.75" customHeight="1">
      <c r="B36" s="29">
        <v>28.0</v>
      </c>
      <c r="C36" s="33" t="s">
        <v>81</v>
      </c>
      <c r="D36" s="40" t="s">
        <v>82</v>
      </c>
      <c r="E36" s="40" t="s">
        <v>87</v>
      </c>
      <c r="F36" s="40" t="s">
        <v>89</v>
      </c>
      <c r="G36" s="40" t="s">
        <v>67</v>
      </c>
      <c r="H36" s="33">
        <v>5.0</v>
      </c>
    </row>
    <row r="37" ht="15.75" customHeight="1">
      <c r="B37" s="29">
        <v>29.0</v>
      </c>
      <c r="C37" s="33" t="s">
        <v>81</v>
      </c>
      <c r="D37" s="40" t="s">
        <v>82</v>
      </c>
      <c r="E37" s="40" t="s">
        <v>90</v>
      </c>
      <c r="F37" s="40" t="s">
        <v>91</v>
      </c>
      <c r="G37" s="40" t="s">
        <v>67</v>
      </c>
      <c r="H37" s="33">
        <v>5.0</v>
      </c>
    </row>
    <row r="38" ht="15.75" customHeight="1">
      <c r="B38" s="29">
        <v>30.0</v>
      </c>
      <c r="C38" s="33" t="s">
        <v>81</v>
      </c>
      <c r="D38" s="40" t="s">
        <v>82</v>
      </c>
      <c r="E38" s="40" t="s">
        <v>90</v>
      </c>
      <c r="F38" s="40" t="s">
        <v>92</v>
      </c>
      <c r="G38" s="40" t="s">
        <v>67</v>
      </c>
      <c r="H38" s="33">
        <v>5.0</v>
      </c>
    </row>
    <row r="39" ht="15.75" customHeight="1">
      <c r="B39" s="29">
        <v>31.0</v>
      </c>
      <c r="C39" s="33" t="s">
        <v>81</v>
      </c>
      <c r="D39" s="40" t="s">
        <v>82</v>
      </c>
      <c r="E39" s="40" t="s">
        <v>90</v>
      </c>
      <c r="F39" s="40" t="s">
        <v>93</v>
      </c>
      <c r="G39" s="40" t="s">
        <v>67</v>
      </c>
      <c r="H39" s="33">
        <v>5.0</v>
      </c>
    </row>
    <row r="40" ht="15.75" customHeight="1">
      <c r="B40" s="29">
        <v>32.0</v>
      </c>
      <c r="C40" s="33" t="s">
        <v>81</v>
      </c>
      <c r="D40" s="40" t="s">
        <v>82</v>
      </c>
      <c r="E40" s="40" t="s">
        <v>90</v>
      </c>
      <c r="F40" s="40" t="s">
        <v>94</v>
      </c>
      <c r="G40" s="40" t="s">
        <v>67</v>
      </c>
      <c r="H40" s="33">
        <v>5.0</v>
      </c>
    </row>
    <row r="41" ht="15.75" customHeight="1">
      <c r="B41" s="29">
        <v>33.0</v>
      </c>
      <c r="C41" s="33" t="s">
        <v>81</v>
      </c>
      <c r="D41" s="40" t="s">
        <v>96</v>
      </c>
      <c r="E41" s="40" t="s">
        <v>97</v>
      </c>
      <c r="F41" s="40" t="s">
        <v>98</v>
      </c>
      <c r="G41" s="40" t="s">
        <v>67</v>
      </c>
      <c r="H41" s="33">
        <v>6.0</v>
      </c>
    </row>
    <row r="42" ht="15.75" customHeight="1">
      <c r="B42" s="29">
        <v>34.0</v>
      </c>
      <c r="C42" s="33" t="s">
        <v>81</v>
      </c>
      <c r="D42" s="40" t="s">
        <v>96</v>
      </c>
      <c r="E42" s="40" t="s">
        <v>97</v>
      </c>
      <c r="F42" s="40" t="s">
        <v>99</v>
      </c>
      <c r="G42" s="40" t="s">
        <v>67</v>
      </c>
      <c r="H42" s="33">
        <v>6.0</v>
      </c>
    </row>
    <row r="43" ht="15.75" customHeight="1">
      <c r="B43" s="29">
        <v>35.0</v>
      </c>
      <c r="C43" s="33" t="s">
        <v>81</v>
      </c>
      <c r="D43" s="40" t="s">
        <v>96</v>
      </c>
      <c r="E43" s="40" t="s">
        <v>101</v>
      </c>
      <c r="F43" s="40" t="s">
        <v>102</v>
      </c>
      <c r="G43" s="40" t="s">
        <v>67</v>
      </c>
      <c r="H43" s="33">
        <v>6.0</v>
      </c>
    </row>
    <row r="44" ht="15.75" customHeight="1">
      <c r="B44" s="29">
        <v>36.0</v>
      </c>
      <c r="C44" s="33" t="s">
        <v>81</v>
      </c>
      <c r="D44" s="40" t="s">
        <v>96</v>
      </c>
      <c r="E44" s="40" t="s">
        <v>101</v>
      </c>
      <c r="F44" s="40" t="s">
        <v>103</v>
      </c>
      <c r="G44" s="40" t="s">
        <v>67</v>
      </c>
      <c r="H44" s="33">
        <v>6.0</v>
      </c>
    </row>
    <row r="45" ht="15.75" customHeight="1">
      <c r="B45" s="29">
        <v>37.0</v>
      </c>
      <c r="C45" s="33" t="s">
        <v>81</v>
      </c>
      <c r="D45" s="40" t="s">
        <v>96</v>
      </c>
      <c r="E45" s="40" t="s">
        <v>104</v>
      </c>
      <c r="F45" s="40" t="s">
        <v>105</v>
      </c>
      <c r="G45" s="40" t="s">
        <v>67</v>
      </c>
      <c r="H45" s="33">
        <v>6.0</v>
      </c>
    </row>
    <row r="46" ht="15.75" customHeight="1">
      <c r="B46" s="29">
        <v>38.0</v>
      </c>
      <c r="C46" s="33" t="s">
        <v>81</v>
      </c>
      <c r="D46" s="40" t="s">
        <v>96</v>
      </c>
      <c r="E46" s="40" t="s">
        <v>104</v>
      </c>
      <c r="F46" s="40" t="s">
        <v>106</v>
      </c>
      <c r="G46" s="40" t="s">
        <v>67</v>
      </c>
      <c r="H46" s="33">
        <v>6.0</v>
      </c>
    </row>
    <row r="47" ht="15.75" customHeight="1">
      <c r="B47" s="29">
        <v>39.0</v>
      </c>
      <c r="C47" s="33" t="s">
        <v>81</v>
      </c>
      <c r="D47" s="40" t="s">
        <v>96</v>
      </c>
      <c r="E47" s="40" t="s">
        <v>107</v>
      </c>
      <c r="F47" s="40" t="s">
        <v>108</v>
      </c>
      <c r="G47" s="40" t="s">
        <v>67</v>
      </c>
      <c r="H47" s="33">
        <v>6.0</v>
      </c>
    </row>
    <row r="48" ht="15.75" customHeight="1">
      <c r="B48" s="29">
        <v>40.0</v>
      </c>
      <c r="C48" s="33" t="s">
        <v>81</v>
      </c>
      <c r="D48" s="40" t="s">
        <v>96</v>
      </c>
      <c r="E48" s="40" t="s">
        <v>107</v>
      </c>
      <c r="F48" s="40" t="s">
        <v>111</v>
      </c>
      <c r="G48" s="40" t="s">
        <v>67</v>
      </c>
      <c r="H48" s="33">
        <v>6.0</v>
      </c>
    </row>
    <row r="49" ht="15.75" customHeight="1">
      <c r="B49" s="11">
        <v>41.0</v>
      </c>
      <c r="C49" s="56" t="s">
        <v>63</v>
      </c>
      <c r="D49" s="60" t="s">
        <v>121</v>
      </c>
      <c r="E49" s="60" t="s">
        <v>124</v>
      </c>
      <c r="F49" s="60" t="s">
        <v>125</v>
      </c>
      <c r="G49" s="60" t="s">
        <v>126</v>
      </c>
      <c r="H49" s="64">
        <v>7.0</v>
      </c>
    </row>
    <row r="50" ht="15.75" customHeight="1">
      <c r="B50" s="11">
        <v>42.0</v>
      </c>
      <c r="C50" s="56" t="s">
        <v>63</v>
      </c>
      <c r="D50" s="60" t="s">
        <v>121</v>
      </c>
      <c r="E50" s="60" t="s">
        <v>124</v>
      </c>
      <c r="F50" s="60" t="s">
        <v>131</v>
      </c>
      <c r="G50" s="60" t="s">
        <v>126</v>
      </c>
      <c r="H50" s="64">
        <v>7.0</v>
      </c>
    </row>
    <row r="51" ht="15.75" customHeight="1">
      <c r="B51" s="11">
        <v>43.0</v>
      </c>
      <c r="C51" s="56" t="s">
        <v>63</v>
      </c>
      <c r="D51" s="60" t="s">
        <v>121</v>
      </c>
      <c r="E51" s="60" t="s">
        <v>132</v>
      </c>
      <c r="F51" s="60" t="s">
        <v>133</v>
      </c>
      <c r="G51" s="60" t="s">
        <v>126</v>
      </c>
      <c r="H51" s="64">
        <v>7.0</v>
      </c>
    </row>
    <row r="52" ht="15.75" customHeight="1">
      <c r="B52" s="11">
        <v>44.0</v>
      </c>
      <c r="C52" s="56" t="s">
        <v>63</v>
      </c>
      <c r="D52" s="60" t="s">
        <v>121</v>
      </c>
      <c r="E52" s="60" t="s">
        <v>134</v>
      </c>
      <c r="F52" s="60" t="s">
        <v>135</v>
      </c>
      <c r="G52" s="60" t="s">
        <v>126</v>
      </c>
      <c r="H52" s="64">
        <v>7.0</v>
      </c>
    </row>
    <row r="53" ht="15.75" customHeight="1">
      <c r="B53" s="11">
        <v>45.0</v>
      </c>
      <c r="C53" s="56" t="s">
        <v>63</v>
      </c>
      <c r="D53" s="60" t="s">
        <v>121</v>
      </c>
      <c r="E53" s="60" t="s">
        <v>136</v>
      </c>
      <c r="F53" s="60" t="s">
        <v>137</v>
      </c>
      <c r="G53" s="60" t="s">
        <v>126</v>
      </c>
      <c r="H53" s="64">
        <v>7.0</v>
      </c>
    </row>
    <row r="54" ht="15.75" customHeight="1">
      <c r="B54" s="11">
        <v>46.0</v>
      </c>
      <c r="C54" s="56" t="s">
        <v>63</v>
      </c>
      <c r="D54" s="60" t="s">
        <v>121</v>
      </c>
      <c r="E54" s="60" t="s">
        <v>139</v>
      </c>
      <c r="F54" s="60" t="s">
        <v>140</v>
      </c>
      <c r="G54" s="60" t="s">
        <v>126</v>
      </c>
      <c r="H54" s="64">
        <v>7.0</v>
      </c>
    </row>
    <row r="55" ht="15.75" customHeight="1">
      <c r="B55" s="11">
        <v>47.0</v>
      </c>
      <c r="C55" s="56" t="s">
        <v>142</v>
      </c>
      <c r="D55" s="60" t="s">
        <v>143</v>
      </c>
      <c r="E55" s="60" t="s">
        <v>144</v>
      </c>
      <c r="F55" s="60" t="s">
        <v>145</v>
      </c>
      <c r="G55" s="60" t="s">
        <v>126</v>
      </c>
      <c r="H55" s="64">
        <v>8.0</v>
      </c>
    </row>
    <row r="56" ht="15.75" customHeight="1">
      <c r="B56" s="11">
        <v>48.0</v>
      </c>
      <c r="C56" s="56" t="s">
        <v>142</v>
      </c>
      <c r="D56" s="60" t="s">
        <v>143</v>
      </c>
      <c r="E56" s="60" t="s">
        <v>148</v>
      </c>
      <c r="F56" s="60" t="s">
        <v>149</v>
      </c>
      <c r="G56" s="60" t="s">
        <v>126</v>
      </c>
      <c r="H56" s="64">
        <v>8.0</v>
      </c>
    </row>
    <row r="57" ht="15.75" customHeight="1">
      <c r="B57" s="11">
        <v>49.0</v>
      </c>
      <c r="C57" s="56" t="s">
        <v>142</v>
      </c>
      <c r="D57" s="60" t="s">
        <v>143</v>
      </c>
      <c r="E57" s="60" t="s">
        <v>150</v>
      </c>
      <c r="F57" s="60" t="s">
        <v>151</v>
      </c>
      <c r="G57" s="60" t="s">
        <v>126</v>
      </c>
      <c r="H57" s="64">
        <v>8.0</v>
      </c>
    </row>
    <row r="58" ht="15.75" customHeight="1">
      <c r="B58" s="11">
        <v>50.0</v>
      </c>
      <c r="C58" s="56" t="s">
        <v>142</v>
      </c>
      <c r="D58" s="60" t="s">
        <v>143</v>
      </c>
      <c r="E58" s="60" t="s">
        <v>152</v>
      </c>
      <c r="F58" s="60" t="s">
        <v>153</v>
      </c>
      <c r="G58" s="60" t="s">
        <v>126</v>
      </c>
      <c r="H58" s="64">
        <v>8.0</v>
      </c>
    </row>
    <row r="59" ht="15.75" customHeight="1">
      <c r="B59" s="11">
        <v>51.0</v>
      </c>
      <c r="C59" s="56" t="s">
        <v>142</v>
      </c>
      <c r="D59" s="60" t="s">
        <v>143</v>
      </c>
      <c r="E59" s="60" t="s">
        <v>154</v>
      </c>
      <c r="F59" s="60" t="s">
        <v>155</v>
      </c>
      <c r="G59" s="60" t="s">
        <v>126</v>
      </c>
      <c r="H59" s="64">
        <v>8.0</v>
      </c>
    </row>
    <row r="60" ht="15.75" customHeight="1">
      <c r="B60" s="11">
        <v>52.0</v>
      </c>
      <c r="C60" s="56" t="s">
        <v>142</v>
      </c>
      <c r="D60" s="60" t="s">
        <v>143</v>
      </c>
      <c r="E60" s="60" t="s">
        <v>156</v>
      </c>
      <c r="F60" s="60" t="s">
        <v>157</v>
      </c>
      <c r="G60" s="60" t="s">
        <v>126</v>
      </c>
      <c r="H60" s="64">
        <v>8.0</v>
      </c>
    </row>
    <row r="61" ht="15.75" customHeight="1">
      <c r="B61" s="11">
        <v>53.0</v>
      </c>
      <c r="C61" s="56" t="s">
        <v>158</v>
      </c>
      <c r="D61" s="60" t="s">
        <v>159</v>
      </c>
      <c r="E61" s="60" t="s">
        <v>154</v>
      </c>
      <c r="F61" s="60" t="s">
        <v>160</v>
      </c>
      <c r="G61" s="60" t="s">
        <v>161</v>
      </c>
      <c r="H61" s="64">
        <v>9.0</v>
      </c>
    </row>
    <row r="62" ht="15.75" customHeight="1">
      <c r="B62" s="11">
        <v>54.0</v>
      </c>
      <c r="C62" s="56" t="s">
        <v>158</v>
      </c>
      <c r="D62" s="60" t="s">
        <v>159</v>
      </c>
      <c r="E62" s="60" t="s">
        <v>162</v>
      </c>
      <c r="F62" s="60" t="s">
        <v>163</v>
      </c>
      <c r="G62" s="60" t="s">
        <v>161</v>
      </c>
      <c r="H62" s="64">
        <v>9.0</v>
      </c>
    </row>
    <row r="63" ht="15.75" customHeight="1">
      <c r="B63" s="11">
        <v>55.0</v>
      </c>
      <c r="C63" s="56" t="s">
        <v>158</v>
      </c>
      <c r="D63" s="60" t="s">
        <v>159</v>
      </c>
      <c r="E63" s="60" t="s">
        <v>164</v>
      </c>
      <c r="F63" s="60" t="s">
        <v>165</v>
      </c>
      <c r="G63" s="60" t="s">
        <v>161</v>
      </c>
      <c r="H63" s="64">
        <v>9.0</v>
      </c>
    </row>
    <row r="64" ht="15.75" customHeight="1">
      <c r="B64" s="11">
        <v>56.0</v>
      </c>
      <c r="C64" s="56" t="s">
        <v>158</v>
      </c>
      <c r="D64" s="60" t="s">
        <v>159</v>
      </c>
      <c r="E64" s="60" t="s">
        <v>166</v>
      </c>
      <c r="F64" s="60" t="s">
        <v>167</v>
      </c>
      <c r="G64" s="60" t="s">
        <v>161</v>
      </c>
      <c r="H64" s="64">
        <v>9.0</v>
      </c>
    </row>
    <row r="65" ht="15.75" customHeight="1">
      <c r="B65" s="11">
        <v>57.0</v>
      </c>
      <c r="C65" s="56" t="s">
        <v>158</v>
      </c>
      <c r="D65" s="60" t="s">
        <v>159</v>
      </c>
      <c r="E65" s="60" t="s">
        <v>168</v>
      </c>
      <c r="F65" s="60" t="s">
        <v>169</v>
      </c>
      <c r="G65" s="60" t="s">
        <v>161</v>
      </c>
      <c r="H65" s="64">
        <v>9.0</v>
      </c>
    </row>
    <row r="66" ht="15.75" customHeight="1">
      <c r="B66" s="11">
        <v>58.0</v>
      </c>
      <c r="C66" s="56" t="s">
        <v>158</v>
      </c>
      <c r="D66" s="60" t="s">
        <v>159</v>
      </c>
      <c r="E66" s="60" t="s">
        <v>170</v>
      </c>
      <c r="F66" s="60" t="s">
        <v>171</v>
      </c>
      <c r="G66" s="60" t="s">
        <v>161</v>
      </c>
      <c r="H66" s="64">
        <v>9.0</v>
      </c>
    </row>
    <row r="67" ht="15.75" customHeight="1">
      <c r="B67" s="11">
        <v>59.0</v>
      </c>
      <c r="C67" s="56" t="s">
        <v>51</v>
      </c>
      <c r="D67" s="60" t="s">
        <v>172</v>
      </c>
      <c r="E67" s="60" t="s">
        <v>173</v>
      </c>
      <c r="F67" s="60" t="s">
        <v>174</v>
      </c>
      <c r="G67" s="60" t="s">
        <v>161</v>
      </c>
      <c r="H67" s="64">
        <v>10.0</v>
      </c>
    </row>
    <row r="68" ht="15.75" customHeight="1">
      <c r="B68" s="11">
        <v>60.0</v>
      </c>
      <c r="C68" s="56" t="s">
        <v>51</v>
      </c>
      <c r="D68" s="60" t="s">
        <v>172</v>
      </c>
      <c r="E68" s="60" t="s">
        <v>175</v>
      </c>
      <c r="F68" s="60" t="s">
        <v>176</v>
      </c>
      <c r="G68" s="60" t="s">
        <v>161</v>
      </c>
      <c r="H68" s="64">
        <v>10.0</v>
      </c>
    </row>
    <row r="69" ht="15.75" customHeight="1">
      <c r="B69" s="11">
        <v>61.0</v>
      </c>
      <c r="C69" s="56" t="s">
        <v>51</v>
      </c>
      <c r="D69" s="60" t="s">
        <v>172</v>
      </c>
      <c r="E69" s="60" t="s">
        <v>177</v>
      </c>
      <c r="F69" s="60" t="s">
        <v>178</v>
      </c>
      <c r="G69" s="60" t="s">
        <v>161</v>
      </c>
      <c r="H69" s="64">
        <v>10.0</v>
      </c>
    </row>
    <row r="70" ht="15.75" customHeight="1">
      <c r="B70" s="11">
        <v>62.0</v>
      </c>
      <c r="C70" s="56" t="s">
        <v>51</v>
      </c>
      <c r="D70" s="60" t="s">
        <v>172</v>
      </c>
      <c r="E70" s="60" t="s">
        <v>179</v>
      </c>
      <c r="F70" s="60" t="s">
        <v>180</v>
      </c>
      <c r="G70" s="60" t="s">
        <v>161</v>
      </c>
      <c r="H70" s="64">
        <v>10.0</v>
      </c>
    </row>
    <row r="71" ht="15.75" customHeight="1">
      <c r="B71" s="11">
        <v>63.0</v>
      </c>
      <c r="C71" s="56" t="s">
        <v>51</v>
      </c>
      <c r="D71" s="60" t="s">
        <v>172</v>
      </c>
      <c r="E71" s="60" t="s">
        <v>181</v>
      </c>
      <c r="F71" s="60" t="s">
        <v>182</v>
      </c>
      <c r="G71" s="60" t="s">
        <v>161</v>
      </c>
      <c r="H71" s="64">
        <v>10.0</v>
      </c>
    </row>
    <row r="72" ht="15.75" customHeight="1">
      <c r="B72" s="11">
        <v>64.0</v>
      </c>
      <c r="C72" s="56" t="s">
        <v>51</v>
      </c>
      <c r="D72" s="60" t="s">
        <v>172</v>
      </c>
      <c r="E72" s="60" t="s">
        <v>184</v>
      </c>
      <c r="F72" s="60" t="s">
        <v>185</v>
      </c>
      <c r="G72" s="60" t="s">
        <v>161</v>
      </c>
      <c r="H72" s="64">
        <v>10.0</v>
      </c>
    </row>
    <row r="73" ht="15.75" customHeight="1">
      <c r="B73" s="11">
        <v>65.0</v>
      </c>
      <c r="C73" s="56" t="s">
        <v>188</v>
      </c>
      <c r="D73" s="60" t="s">
        <v>189</v>
      </c>
      <c r="E73" s="60" t="s">
        <v>190</v>
      </c>
      <c r="F73" s="60" t="s">
        <v>191</v>
      </c>
      <c r="G73" s="60" t="s">
        <v>192</v>
      </c>
      <c r="H73" s="64">
        <v>11.0</v>
      </c>
    </row>
    <row r="74" ht="15.75" customHeight="1">
      <c r="B74" s="11">
        <v>66.0</v>
      </c>
      <c r="C74" s="56" t="s">
        <v>188</v>
      </c>
      <c r="D74" s="60" t="s">
        <v>189</v>
      </c>
      <c r="E74" s="60" t="s">
        <v>193</v>
      </c>
      <c r="F74" s="60" t="s">
        <v>194</v>
      </c>
      <c r="G74" s="60" t="s">
        <v>192</v>
      </c>
      <c r="H74" s="64">
        <v>11.0</v>
      </c>
    </row>
    <row r="75" ht="15.75" customHeight="1">
      <c r="B75" s="11">
        <v>67.0</v>
      </c>
      <c r="C75" s="56" t="s">
        <v>188</v>
      </c>
      <c r="D75" s="60" t="s">
        <v>189</v>
      </c>
      <c r="E75" s="60" t="s">
        <v>195</v>
      </c>
      <c r="F75" s="60" t="s">
        <v>196</v>
      </c>
      <c r="G75" s="60" t="s">
        <v>192</v>
      </c>
      <c r="H75" s="64">
        <v>11.0</v>
      </c>
    </row>
    <row r="76" ht="15.75" customHeight="1">
      <c r="B76" s="11">
        <v>68.0</v>
      </c>
      <c r="C76" s="56" t="s">
        <v>188</v>
      </c>
      <c r="D76" s="60" t="s">
        <v>189</v>
      </c>
      <c r="E76" s="60" t="s">
        <v>197</v>
      </c>
      <c r="F76" s="60" t="s">
        <v>198</v>
      </c>
      <c r="G76" s="60" t="s">
        <v>192</v>
      </c>
      <c r="H76" s="64">
        <v>11.0</v>
      </c>
    </row>
    <row r="77" ht="15.75" customHeight="1">
      <c r="B77" s="11">
        <v>69.0</v>
      </c>
      <c r="C77" s="56" t="s">
        <v>188</v>
      </c>
      <c r="D77" s="60" t="s">
        <v>189</v>
      </c>
      <c r="E77" s="60" t="s">
        <v>199</v>
      </c>
      <c r="F77" s="60" t="s">
        <v>200</v>
      </c>
      <c r="G77" s="60" t="s">
        <v>192</v>
      </c>
      <c r="H77" s="64">
        <v>11.0</v>
      </c>
    </row>
    <row r="78" ht="15.75" customHeight="1">
      <c r="B78" s="11">
        <v>70.0</v>
      </c>
      <c r="C78" s="56" t="s">
        <v>188</v>
      </c>
      <c r="D78" s="60" t="s">
        <v>189</v>
      </c>
      <c r="E78" s="60" t="s">
        <v>203</v>
      </c>
      <c r="F78" s="60" t="s">
        <v>204</v>
      </c>
      <c r="G78" s="60" t="s">
        <v>192</v>
      </c>
      <c r="H78" s="64">
        <v>11.0</v>
      </c>
    </row>
    <row r="79" ht="15.75" customHeight="1">
      <c r="B79" s="11">
        <v>71.0</v>
      </c>
      <c r="C79" s="2"/>
      <c r="H79" s="11"/>
    </row>
    <row r="80" ht="15.75" customHeight="1">
      <c r="B80" s="11">
        <v>72.0</v>
      </c>
      <c r="C80" s="2"/>
      <c r="H80" s="11"/>
    </row>
    <row r="81" ht="15.75" customHeight="1">
      <c r="B81" s="11">
        <v>73.0</v>
      </c>
      <c r="C81" s="2"/>
      <c r="H81" s="11"/>
    </row>
    <row r="82" ht="15.75" customHeight="1">
      <c r="B82" s="11">
        <v>74.0</v>
      </c>
      <c r="C82" s="2"/>
      <c r="H82" s="11"/>
    </row>
    <row r="83" ht="15.75" customHeight="1">
      <c r="B83" s="11">
        <v>75.0</v>
      </c>
      <c r="C83" s="2"/>
      <c r="H83" s="11"/>
    </row>
    <row r="84" ht="15.75" customHeight="1">
      <c r="B84" s="11">
        <v>76.0</v>
      </c>
      <c r="C84" s="2"/>
      <c r="H84" s="11"/>
    </row>
    <row r="85" ht="15.75" customHeight="1">
      <c r="B85" s="11">
        <v>77.0</v>
      </c>
      <c r="C85" s="2"/>
      <c r="H85" s="11"/>
    </row>
    <row r="86" ht="15.75" customHeight="1">
      <c r="B86" s="11">
        <v>78.0</v>
      </c>
      <c r="C86" s="2"/>
      <c r="H86" s="11"/>
    </row>
    <row r="87" ht="15.75" customHeight="1">
      <c r="B87" s="11">
        <v>79.0</v>
      </c>
      <c r="C87" s="2"/>
      <c r="H87" s="11"/>
    </row>
    <row r="88" ht="15.75" customHeight="1">
      <c r="B88" s="11">
        <v>80.0</v>
      </c>
      <c r="C88" s="2"/>
      <c r="H88" s="11"/>
    </row>
    <row r="89" ht="15.75" customHeight="1">
      <c r="B89" s="11">
        <v>81.0</v>
      </c>
      <c r="C89" s="2"/>
      <c r="H89" s="11"/>
    </row>
    <row r="90" ht="15.75" customHeight="1">
      <c r="B90" s="11">
        <v>82.0</v>
      </c>
      <c r="C90" s="2"/>
      <c r="H90" s="11"/>
    </row>
    <row r="91" ht="15.75" customHeight="1">
      <c r="B91" s="11">
        <v>83.0</v>
      </c>
      <c r="C91" s="2"/>
      <c r="H91" s="11"/>
    </row>
    <row r="92" ht="15.75" customHeight="1">
      <c r="B92" s="11">
        <v>84.0</v>
      </c>
      <c r="C92" s="2"/>
      <c r="H92" s="11"/>
    </row>
    <row r="93" ht="15.75" customHeight="1">
      <c r="B93" s="11">
        <v>85.0</v>
      </c>
      <c r="C93" s="2"/>
      <c r="H93" s="11"/>
    </row>
    <row r="94" ht="15.75" customHeight="1">
      <c r="B94" s="11">
        <v>86.0</v>
      </c>
      <c r="C94" s="2"/>
      <c r="H94" s="11"/>
    </row>
    <row r="95" ht="15.75" customHeight="1">
      <c r="B95" s="11">
        <v>87.0</v>
      </c>
      <c r="C95" s="2"/>
      <c r="H95" s="11"/>
    </row>
    <row r="96" ht="15.75" customHeight="1">
      <c r="B96" s="11">
        <v>88.0</v>
      </c>
      <c r="C96" s="2"/>
      <c r="H96" s="11"/>
    </row>
    <row r="97" ht="15.75" customHeight="1">
      <c r="B97" s="11">
        <v>89.0</v>
      </c>
      <c r="C97" s="2"/>
      <c r="H97" s="11"/>
    </row>
    <row r="98" ht="15.75" customHeight="1">
      <c r="B98" s="11">
        <v>90.0</v>
      </c>
      <c r="C98" s="2"/>
      <c r="H98" s="11"/>
    </row>
    <row r="99" ht="15.75" customHeight="1">
      <c r="B99" s="11">
        <v>91.0</v>
      </c>
      <c r="C99" s="2"/>
      <c r="H99" s="11"/>
    </row>
    <row r="100" ht="15.75" customHeight="1">
      <c r="B100" s="11">
        <v>92.0</v>
      </c>
      <c r="C100" s="2"/>
      <c r="H100" s="11"/>
    </row>
    <row r="101" ht="15.75" customHeight="1">
      <c r="B101" s="11">
        <v>93.0</v>
      </c>
      <c r="C101" s="2"/>
      <c r="H101" s="11"/>
    </row>
    <row r="102" ht="15.75" customHeight="1">
      <c r="B102" s="11">
        <v>94.0</v>
      </c>
      <c r="C102" s="2"/>
      <c r="H102" s="11"/>
    </row>
    <row r="103" ht="15.75" customHeight="1">
      <c r="B103" s="11">
        <v>95.0</v>
      </c>
      <c r="C103" s="2"/>
    </row>
    <row r="104" ht="15.75" customHeight="1">
      <c r="B104" s="11">
        <v>96.0</v>
      </c>
      <c r="C104" s="2"/>
    </row>
    <row r="105" ht="15.75" customHeight="1">
      <c r="B105" s="11">
        <v>97.0</v>
      </c>
      <c r="C105" s="2"/>
    </row>
    <row r="106" ht="15.75" customHeight="1">
      <c r="B106" s="11">
        <v>98.0</v>
      </c>
      <c r="C106" s="2"/>
    </row>
    <row r="107" ht="15.75" customHeight="1">
      <c r="B107" s="11">
        <v>99.0</v>
      </c>
      <c r="C107" s="2"/>
    </row>
    <row r="108" ht="15.75" customHeight="1">
      <c r="B108" s="11">
        <v>100.0</v>
      </c>
      <c r="C108" s="2"/>
    </row>
    <row r="109" ht="15.75" customHeight="1">
      <c r="C109" s="2"/>
    </row>
    <row r="110" ht="15.75" customHeight="1">
      <c r="C110" s="2"/>
    </row>
    <row r="111" ht="15.75" customHeight="1">
      <c r="C111" s="2"/>
    </row>
    <row r="112" ht="15.75" customHeight="1">
      <c r="C112" s="2"/>
    </row>
    <row r="113" ht="15.75" customHeight="1">
      <c r="C113" s="2"/>
    </row>
    <row r="114" ht="15.75" customHeight="1">
      <c r="C114" s="2"/>
    </row>
    <row r="115" ht="15.75" customHeight="1">
      <c r="C115" s="2"/>
    </row>
    <row r="116" ht="15.75" customHeight="1">
      <c r="C116" s="2"/>
    </row>
    <row r="117" ht="15.75" customHeight="1">
      <c r="C117" s="2"/>
    </row>
    <row r="118" ht="15.75" customHeight="1">
      <c r="C118" s="2"/>
    </row>
    <row r="119" ht="15.75" customHeight="1">
      <c r="C119" s="2"/>
    </row>
    <row r="120" ht="15.75" customHeight="1">
      <c r="C120" s="2"/>
    </row>
    <row r="121" ht="15.75" customHeight="1">
      <c r="C121" s="2"/>
    </row>
    <row r="122" ht="15.75" customHeight="1">
      <c r="C122" s="2"/>
    </row>
    <row r="123" ht="15.75" customHeight="1">
      <c r="C123" s="2"/>
    </row>
    <row r="124" ht="15.75" customHeight="1">
      <c r="C124" s="2"/>
    </row>
    <row r="125" ht="15.75" customHeight="1">
      <c r="C125" s="2"/>
    </row>
    <row r="126" ht="15.75" customHeight="1">
      <c r="C126" s="2"/>
    </row>
    <row r="127" ht="15.75" customHeight="1">
      <c r="C127" s="2"/>
    </row>
    <row r="128" ht="15.75" customHeight="1">
      <c r="C128" s="2"/>
    </row>
    <row r="129" ht="15.75" customHeight="1">
      <c r="C129" s="2"/>
    </row>
    <row r="130" ht="15.75" customHeight="1">
      <c r="C130" s="2"/>
    </row>
    <row r="131" ht="15.75" customHeight="1">
      <c r="C131" s="2"/>
    </row>
    <row r="132" ht="15.75" customHeight="1">
      <c r="C132" s="2"/>
    </row>
    <row r="133" ht="15.75" customHeight="1">
      <c r="C133" s="2"/>
    </row>
    <row r="134" ht="15.75" customHeight="1">
      <c r="C134" s="2"/>
    </row>
    <row r="135" ht="15.75" customHeight="1">
      <c r="C135" s="2"/>
    </row>
    <row r="136" ht="15.75" customHeight="1">
      <c r="C136" s="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7" t="s">
        <v>3</v>
      </c>
    </row>
    <row r="3" ht="15.75" customHeight="1"/>
    <row r="4" ht="15.75" customHeight="1">
      <c r="B4" s="9" t="s">
        <v>2</v>
      </c>
      <c r="C4" s="14" t="str">
        <f>'Diseño'!C4</f>
        <v>285 - Sistemas Operativos 2</v>
      </c>
      <c r="D4" s="15"/>
      <c r="E4" s="15"/>
      <c r="F4" s="15"/>
      <c r="G4" s="18"/>
    </row>
    <row r="5" ht="15.75" customHeight="1">
      <c r="B5" s="22" t="s">
        <v>17</v>
      </c>
      <c r="C5" s="14">
        <v>1.0</v>
      </c>
      <c r="D5" s="15"/>
      <c r="E5" s="15"/>
      <c r="F5" s="15"/>
      <c r="G5" s="18"/>
    </row>
    <row r="6" ht="15.75" customHeight="1">
      <c r="B6" s="22" t="s">
        <v>21</v>
      </c>
      <c r="C6" s="14">
        <f>B15+B22+B29+B41+B47+C48</f>
        <v>100</v>
      </c>
      <c r="D6" s="15"/>
      <c r="E6" s="15"/>
      <c r="F6" s="15"/>
      <c r="G6" s="18"/>
    </row>
    <row r="7" ht="15.75" customHeight="1"/>
    <row r="8" ht="15.75" customHeight="1">
      <c r="K8" s="31" t="s">
        <v>27</v>
      </c>
    </row>
    <row r="9" ht="15.75" customHeight="1">
      <c r="A9" s="35" t="s">
        <v>30</v>
      </c>
      <c r="G9" s="37" t="s">
        <v>33</v>
      </c>
      <c r="H9" s="41">
        <f>B15</f>
        <v>15</v>
      </c>
    </row>
    <row r="10" ht="15.75" customHeight="1">
      <c r="G10" s="43" t="s">
        <v>45</v>
      </c>
    </row>
    <row r="11" ht="24.75" customHeight="1">
      <c r="A11" s="46" t="s">
        <v>60</v>
      </c>
      <c r="B11" s="49" t="s">
        <v>86</v>
      </c>
      <c r="C11" s="15"/>
      <c r="D11" s="15"/>
      <c r="E11" s="15"/>
      <c r="F11" s="15"/>
      <c r="G11" s="15"/>
      <c r="H11" s="18"/>
    </row>
    <row r="12">
      <c r="A12" s="46" t="s">
        <v>109</v>
      </c>
      <c r="B12" s="53" t="s">
        <v>112</v>
      </c>
      <c r="C12" s="15"/>
      <c r="D12" s="15"/>
      <c r="E12" s="15"/>
      <c r="F12" s="15"/>
      <c r="G12" s="15"/>
      <c r="H12" s="18"/>
    </row>
    <row r="13">
      <c r="A13" s="55" t="s">
        <v>115</v>
      </c>
      <c r="B13" s="53" t="s">
        <v>117</v>
      </c>
      <c r="C13" s="15"/>
      <c r="D13" s="15"/>
      <c r="E13" s="15"/>
      <c r="F13" s="15"/>
      <c r="G13" s="15"/>
      <c r="H13" s="18"/>
    </row>
    <row r="14">
      <c r="A14" s="55" t="s">
        <v>118</v>
      </c>
      <c r="B14" s="53" t="s">
        <v>119</v>
      </c>
      <c r="C14" s="15"/>
      <c r="D14" s="15"/>
      <c r="E14" s="15"/>
      <c r="F14" s="15"/>
      <c r="G14" s="15"/>
      <c r="H14" s="18"/>
    </row>
    <row r="15" ht="15.75" customHeight="1">
      <c r="A15" s="59" t="s">
        <v>120</v>
      </c>
      <c r="B15" s="61">
        <v>15.0</v>
      </c>
      <c r="C15" s="15"/>
      <c r="D15" s="15"/>
      <c r="E15" s="15"/>
      <c r="F15" s="15"/>
      <c r="G15" s="15"/>
      <c r="H15" s="18"/>
    </row>
    <row r="16" ht="15.75" customHeight="1"/>
    <row r="17" ht="15.75" customHeight="1"/>
    <row r="18" ht="15.75" customHeight="1">
      <c r="A18" s="65" t="s">
        <v>127</v>
      </c>
      <c r="G18" s="37" t="s">
        <v>33</v>
      </c>
      <c r="H18" s="41">
        <f>B22</f>
        <v>25</v>
      </c>
    </row>
    <row r="19" ht="15.75" customHeight="1">
      <c r="G19" s="43" t="s">
        <v>138</v>
      </c>
      <c r="K19" s="31" t="s">
        <v>141</v>
      </c>
    </row>
    <row r="20">
      <c r="A20" s="46" t="s">
        <v>146</v>
      </c>
      <c r="B20" s="70" t="s">
        <v>147</v>
      </c>
      <c r="C20" s="15"/>
      <c r="D20" s="15"/>
      <c r="E20" s="15"/>
      <c r="F20" s="15"/>
      <c r="G20" s="15"/>
      <c r="H20" s="18"/>
    </row>
    <row r="21">
      <c r="A21" s="46" t="s">
        <v>186</v>
      </c>
      <c r="B21" s="53" t="s">
        <v>187</v>
      </c>
      <c r="C21" s="15"/>
      <c r="D21" s="15"/>
      <c r="E21" s="15"/>
      <c r="F21" s="15"/>
      <c r="G21" s="15"/>
      <c r="H21" s="18"/>
    </row>
    <row r="22">
      <c r="A22" s="59" t="s">
        <v>120</v>
      </c>
      <c r="B22" s="61">
        <v>25.0</v>
      </c>
      <c r="C22" s="15"/>
      <c r="D22" s="15"/>
      <c r="E22" s="15"/>
      <c r="F22" s="15"/>
      <c r="G22" s="15"/>
      <c r="H22" s="18"/>
    </row>
    <row r="23" ht="15.75" customHeight="1"/>
    <row r="24" ht="15.75" customHeight="1"/>
    <row r="25" ht="15.75" customHeight="1">
      <c r="A25" s="65" t="s">
        <v>201</v>
      </c>
      <c r="G25" s="73" t="s">
        <v>33</v>
      </c>
      <c r="H25" s="41">
        <f>B29</f>
        <v>30</v>
      </c>
    </row>
    <row r="26" ht="15.75" customHeight="1">
      <c r="G26" s="43" t="s">
        <v>206</v>
      </c>
      <c r="H26" s="43"/>
      <c r="I26" s="43"/>
      <c r="J26" s="43"/>
    </row>
    <row r="27" ht="39.75" customHeight="1">
      <c r="A27" s="46" t="s">
        <v>207</v>
      </c>
      <c r="B27" s="49" t="s">
        <v>208</v>
      </c>
      <c r="C27" s="15"/>
      <c r="D27" s="15"/>
      <c r="E27" s="15"/>
      <c r="F27" s="15"/>
      <c r="G27" s="15"/>
      <c r="H27" s="18"/>
      <c r="K27" s="31" t="s">
        <v>209</v>
      </c>
    </row>
    <row r="28" ht="69.75" customHeight="1">
      <c r="A28" s="46" t="s">
        <v>210</v>
      </c>
      <c r="B28" s="53" t="s">
        <v>211</v>
      </c>
      <c r="C28" s="15"/>
      <c r="D28" s="15"/>
      <c r="E28" s="15"/>
      <c r="F28" s="15"/>
      <c r="G28" s="15"/>
      <c r="H28" s="18"/>
    </row>
    <row r="29" ht="15.75" customHeight="1">
      <c r="A29" s="59" t="s">
        <v>120</v>
      </c>
      <c r="B29" s="61">
        <v>30.0</v>
      </c>
      <c r="C29" s="15"/>
      <c r="D29" s="15"/>
      <c r="E29" s="15"/>
      <c r="F29" s="15"/>
      <c r="G29" s="15"/>
      <c r="H29" s="18"/>
    </row>
    <row r="30" ht="15.75" customHeight="1"/>
    <row r="31" ht="15.75" customHeight="1"/>
    <row r="32" ht="15.75" customHeight="1">
      <c r="A32" s="65" t="s">
        <v>213</v>
      </c>
      <c r="G32" s="73" t="s">
        <v>33</v>
      </c>
      <c r="H32" s="80">
        <v>5.0</v>
      </c>
    </row>
    <row r="33" ht="15.75" customHeight="1">
      <c r="A33" s="12" t="s">
        <v>215</v>
      </c>
      <c r="G33" s="12" t="s">
        <v>216</v>
      </c>
    </row>
    <row r="34">
      <c r="A34" s="46" t="s">
        <v>217</v>
      </c>
      <c r="B34" s="85" t="s">
        <v>218</v>
      </c>
      <c r="C34" s="15"/>
      <c r="D34" s="15"/>
      <c r="E34" s="15"/>
      <c r="F34" s="15"/>
      <c r="G34" s="15"/>
      <c r="H34" s="18"/>
      <c r="K34" s="31" t="s">
        <v>220</v>
      </c>
    </row>
    <row r="35">
      <c r="A35" s="46" t="s">
        <v>221</v>
      </c>
      <c r="B35" s="27" t="s">
        <v>222</v>
      </c>
      <c r="C35" s="15"/>
      <c r="D35" s="15"/>
      <c r="E35" s="15"/>
      <c r="F35" s="15"/>
      <c r="G35" s="15"/>
      <c r="H35" s="18"/>
    </row>
    <row r="36" ht="15.75" customHeight="1">
      <c r="A36" s="59" t="s">
        <v>120</v>
      </c>
      <c r="B36" s="87">
        <v>5.0</v>
      </c>
      <c r="C36" s="15"/>
      <c r="D36" s="15"/>
      <c r="E36" s="15"/>
      <c r="F36" s="15"/>
      <c r="G36" s="15"/>
      <c r="H36" s="18"/>
    </row>
    <row r="37" ht="15.75" customHeight="1"/>
    <row r="38" ht="15.75" customHeight="1"/>
    <row r="39" ht="15.75" customHeight="1">
      <c r="A39" s="65" t="s">
        <v>223</v>
      </c>
      <c r="G39" s="73" t="s">
        <v>33</v>
      </c>
      <c r="H39" s="41">
        <f>B41</f>
        <v>15</v>
      </c>
    </row>
    <row r="40" ht="15.75" customHeight="1">
      <c r="G40" s="43" t="s">
        <v>224</v>
      </c>
    </row>
    <row r="41" ht="15.75" customHeight="1">
      <c r="A41" s="59" t="s">
        <v>120</v>
      </c>
      <c r="B41" s="87">
        <v>15.0</v>
      </c>
      <c r="C41" s="15"/>
      <c r="D41" s="15"/>
      <c r="E41" s="15"/>
      <c r="F41" s="15"/>
      <c r="G41" s="15"/>
      <c r="H41" s="18"/>
    </row>
    <row r="42" ht="15.75" customHeight="1"/>
    <row r="43" ht="15.75" customHeight="1"/>
    <row r="44" ht="15.75" customHeight="1">
      <c r="A44" s="65" t="s">
        <v>225</v>
      </c>
      <c r="G44" s="73" t="s">
        <v>33</v>
      </c>
      <c r="H44" s="41">
        <f>B47</f>
        <v>15</v>
      </c>
    </row>
    <row r="45" ht="15.75" customHeight="1">
      <c r="G45" s="43" t="s">
        <v>45</v>
      </c>
    </row>
    <row r="46">
      <c r="A46" s="46" t="s">
        <v>226</v>
      </c>
      <c r="B46" s="91" t="s">
        <v>227</v>
      </c>
      <c r="C46" s="15"/>
      <c r="D46" s="15"/>
      <c r="E46" s="15"/>
      <c r="F46" s="15"/>
      <c r="G46" s="15"/>
      <c r="H46" s="18"/>
    </row>
    <row r="47" ht="15.75" customHeight="1">
      <c r="A47" s="59" t="s">
        <v>120</v>
      </c>
      <c r="B47" s="87">
        <v>15.0</v>
      </c>
      <c r="C47" s="15"/>
      <c r="D47" s="15"/>
      <c r="E47" s="15"/>
      <c r="F47" s="15"/>
      <c r="G47" s="15"/>
      <c r="H47" s="1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20"/>
    <hyperlink r:id="rId3" ref="B34"/>
    <hyperlink r:id="rId4" ref="B46"/>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2.0</v>
      </c>
      <c r="D5" s="15"/>
      <c r="E5" s="15"/>
      <c r="F5" s="15"/>
      <c r="G5" s="18"/>
    </row>
    <row r="6" ht="15.75" customHeight="1">
      <c r="B6" s="96" t="s">
        <v>21</v>
      </c>
      <c r="C6" s="14">
        <f>H10+H21+H44+H68</f>
        <v>110</v>
      </c>
      <c r="D6" s="15"/>
      <c r="E6" s="15"/>
      <c r="F6" s="15"/>
      <c r="G6" s="18"/>
      <c r="I6" s="11"/>
    </row>
    <row r="7" ht="15.75" customHeight="1">
      <c r="B7" s="96" t="s">
        <v>259</v>
      </c>
      <c r="C7" s="14">
        <f>B49+B60</f>
        <v>0</v>
      </c>
      <c r="D7" s="15"/>
      <c r="E7" s="15"/>
      <c r="F7" s="15"/>
      <c r="G7" s="18"/>
    </row>
    <row r="8">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3</v>
      </c>
    </row>
    <row r="11" ht="15.75" customHeight="1">
      <c r="G11" s="43" t="s">
        <v>264</v>
      </c>
    </row>
    <row r="12" ht="15.75" customHeight="1">
      <c r="A12" s="55" t="s">
        <v>265</v>
      </c>
      <c r="B12" s="87" t="s">
        <v>266</v>
      </c>
      <c r="C12" s="15"/>
      <c r="D12" s="15"/>
      <c r="E12" s="15"/>
      <c r="F12" s="15"/>
      <c r="G12" s="15"/>
      <c r="H12" s="18"/>
    </row>
    <row r="13" ht="15.75" customHeight="1">
      <c r="A13" s="59" t="s">
        <v>33</v>
      </c>
      <c r="B13" s="87">
        <v>3.0</v>
      </c>
      <c r="C13" s="15"/>
      <c r="D13" s="15"/>
      <c r="E13" s="15"/>
      <c r="F13" s="15"/>
      <c r="G13" s="15"/>
      <c r="H13" s="18"/>
    </row>
    <row r="14" ht="15.75" customHeight="1">
      <c r="A14" s="108" t="s">
        <v>267</v>
      </c>
      <c r="B14" s="15"/>
      <c r="C14" s="15"/>
      <c r="D14" s="15"/>
      <c r="E14" s="15"/>
      <c r="F14" s="15"/>
      <c r="G14" s="15"/>
      <c r="H14" s="18"/>
    </row>
    <row r="15" ht="15.75" customHeight="1">
      <c r="A15" s="109" t="s">
        <v>268</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270</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10">
        <f>SUM(D39:H42)</f>
        <v>57</v>
      </c>
      <c r="I21" s="11"/>
    </row>
    <row r="22" ht="15.75" customHeight="1">
      <c r="G22" s="43" t="s">
        <v>273</v>
      </c>
    </row>
    <row r="23" ht="15.75" customHeight="1">
      <c r="A23" s="55" t="s">
        <v>274</v>
      </c>
      <c r="B23" s="87" t="s">
        <v>29</v>
      </c>
      <c r="C23" s="15"/>
      <c r="D23" s="15"/>
      <c r="E23" s="15"/>
      <c r="F23" s="15"/>
      <c r="G23" s="15"/>
      <c r="H23" s="18"/>
    </row>
    <row r="24" ht="15.75" customHeight="1">
      <c r="A24" s="55" t="s">
        <v>274</v>
      </c>
      <c r="B24" s="14"/>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IFERROR(__xludf.DUMMYFUNCTION("FILTER('Diseño'!D:D,'Diseño'!H:H=$C$5)"),"Introducción a los Sistemas Operativos y el Kernel")</f>
        <v>Introducción a los Sistemas Operativos y el Kernel</v>
      </c>
      <c r="C28" s="18"/>
      <c r="D28" s="14" t="str">
        <f>IFERROR(__xludf.DUMMYFUNCTION("FILTER('Diseño'!E:E,'Diseño'!H:H=$C$5)"),"Fundamentos de Sistemas Operativos")</f>
        <v>Fundamentos de Sistemas Operativos</v>
      </c>
      <c r="E28" s="18"/>
      <c r="F28" s="14" t="str">
        <f>IFERROR(__xludf.DUMMYFUNCTION("FILTER('Diseño'!F:F,'Diseño'!H:H=$C$5)"),"Gestión de recursos de hardware (CPU, Memoria, Almacenamiento).")</f>
        <v>Gestión de recursos de hardware (CPU, Memoria, Almacenamiento).</v>
      </c>
      <c r="G28" s="15"/>
      <c r="H28" s="18"/>
    </row>
    <row r="29" ht="15.75" customHeight="1">
      <c r="A29" s="22">
        <v>2.0</v>
      </c>
      <c r="B29" s="14" t="str">
        <f>IFERROR(__xludf.DUMMYFUNCTION("""COMPUTED_VALUE"""),"Introducción a los Sistemas Operativos y el Kernel")</f>
        <v>Introducción a los Sistemas Operativos y el Kernel</v>
      </c>
      <c r="C29" s="18"/>
      <c r="D29" s="14" t="str">
        <f>IFERROR(__xludf.DUMMYFUNCTION("""COMPUTED_VALUE"""),"Fundamentos de Sistemas Operativos")</f>
        <v>Fundamentos de Sistemas Operativos</v>
      </c>
      <c r="E29" s="18"/>
      <c r="F29" s="14" t="str">
        <f>IFERROR(__xludf.DUMMYFUNCTION("""COMPUTED_VALUE"""),"Tipos de sistemas operativos: por lotes, multiprogramados, multiprocesamiento, multitarea, de red y distribuidos.")</f>
        <v>Tipos de sistemas operativos: por lotes, multiprogramados, multiprocesamiento, multitarea, de red y distribuidos.</v>
      </c>
      <c r="G29" s="15"/>
      <c r="H29" s="18"/>
    </row>
    <row r="30" ht="15.75" customHeight="1">
      <c r="A30" s="22">
        <v>3.0</v>
      </c>
      <c r="B30" s="14" t="str">
        <f>IFERROR(__xludf.DUMMYFUNCTION("""COMPUTED_VALUE"""),"Introducción a los Sistemas Operativos y el Kernel")</f>
        <v>Introducción a los Sistemas Operativos y el Kernel</v>
      </c>
      <c r="C30" s="18"/>
      <c r="D30" s="14" t="str">
        <f>IFERROR(__xludf.DUMMYFUNCTION("""COMPUTED_VALUE"""),"Ecosistema GNU/Linux")</f>
        <v>Ecosistema GNU/Linux</v>
      </c>
      <c r="E30" s="18"/>
      <c r="F30" s="14" t="str">
        <f>IFERROR(__xludf.DUMMYFUNCTION("""COMPUTED_VALUE"""),"Filosofía de software libre y código abierto.")</f>
        <v>Filosofía de software libre y código abierto.</v>
      </c>
      <c r="G30" s="15"/>
      <c r="H30" s="18"/>
    </row>
    <row r="31" ht="15.75" customHeight="1">
      <c r="A31" s="22">
        <v>4.0</v>
      </c>
      <c r="B31" s="14" t="str">
        <f>IFERROR(__xludf.DUMMYFUNCTION("""COMPUTED_VALUE"""),"Introducción a los Sistemas Operativos y el Kernel")</f>
        <v>Introducción a los Sistemas Operativos y el Kernel</v>
      </c>
      <c r="C31" s="18"/>
      <c r="D31" s="14" t="str">
        <f>IFERROR(__xludf.DUMMYFUNCTION("""COMPUTED_VALUE"""),"Ecosistema GNU/Linux")</f>
        <v>Ecosistema GNU/Linux</v>
      </c>
      <c r="E31" s="18"/>
      <c r="F31" s="14" t="str">
        <f>IFERROR(__xludf.DUMMYFUNCTION("""COMPUTED_VALUE"""),"Diferencia entre el kernel de Linux y el sistema operativo GNU.")</f>
        <v>Diferencia entre el kernel de Linux y el sistema operativo GNU.</v>
      </c>
      <c r="G31" s="15"/>
      <c r="H31" s="18"/>
    </row>
    <row r="32" ht="15.75" customHeight="1">
      <c r="A32" s="22">
        <v>5.0</v>
      </c>
      <c r="B32" s="14" t="str">
        <f>IFERROR(__xludf.DUMMYFUNCTION("""COMPUTED_VALUE"""),"Introducción a los Sistemas Operativos y el Kernel")</f>
        <v>Introducción a los Sistemas Operativos y el Kernel</v>
      </c>
      <c r="C32" s="18"/>
      <c r="D32" s="14" t="str">
        <f>IFERROR(__xludf.DUMMYFUNCTION("""COMPUTED_VALUE"""),"Arquitectura del Kernel")</f>
        <v>Arquitectura del Kernel</v>
      </c>
      <c r="E32" s="18"/>
      <c r="F32" s="14" t="str">
        <f>IFERROR(__xludf.DUMMYFUNCTION("""COMPUTED_VALUE"""),"Estructura del código fuente del kernel.")</f>
        <v>Estructura del código fuente del kernel.</v>
      </c>
      <c r="G32" s="15"/>
      <c r="H32" s="18"/>
    </row>
    <row r="33" ht="15.75" customHeight="1">
      <c r="A33" s="22">
        <v>6.0</v>
      </c>
      <c r="B33" s="14" t="str">
        <f>IFERROR(__xludf.DUMMYFUNCTION("""COMPUTED_VALUE"""),"Introducción a los Sistemas Operativos y el Kernel")</f>
        <v>Introducción a los Sistemas Operativos y el Kernel</v>
      </c>
      <c r="C33" s="18"/>
      <c r="D33" s="14" t="str">
        <f>IFERROR(__xludf.DUMMYFUNCTION("""COMPUTED_VALUE"""),"Arquitectura del Kernel")</f>
        <v>Arquitectura del Kernel</v>
      </c>
      <c r="E33" s="18"/>
      <c r="F33" s="14" t="str">
        <f>IFERROR(__xludf.DUMMYFUNCTION("""COMPUTED_VALUE"""),"Escribir y compilar módulos del kernel (LKM).")</f>
        <v>Escribir y compilar módulos del kernel (LKM).</v>
      </c>
      <c r="G33" s="15"/>
      <c r="H33" s="18"/>
    </row>
    <row r="34" ht="15.75" customHeight="1">
      <c r="A34" s="22">
        <v>7.0</v>
      </c>
      <c r="B34" s="14" t="str">
        <f>IFERROR(__xludf.DUMMYFUNCTION("""COMPUTED_VALUE"""),"Introducción a los Sistemas Operativos y el Kernel")</f>
        <v>Introducción a los Sistemas Operativos y el Kernel</v>
      </c>
      <c r="C34" s="18"/>
      <c r="D34" s="14" t="str">
        <f>IFERROR(__xludf.DUMMYFUNCTION("""COMPUTED_VALUE"""),"Arquitectura del Kernel")</f>
        <v>Arquitectura del Kernel</v>
      </c>
      <c r="E34" s="18"/>
      <c r="F34" s="14" t="str">
        <f>IFERROR(__xludf.DUMMYFUNCTION("""COMPUTED_VALUE"""),"Carga y descarga de módulos dinámicos.")</f>
        <v>Carga y descarga de módulos dinámicos.</v>
      </c>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87">
        <v>30.0</v>
      </c>
      <c r="E39" s="15"/>
      <c r="F39" s="15"/>
      <c r="G39" s="15"/>
      <c r="H39" s="18"/>
      <c r="I39" s="22" t="str">
        <f t="shared" ref="I39:I42" si="1">IF(D39&lt;=C39,"Correcto", "Corregir")</f>
        <v>Correcto</v>
      </c>
    </row>
    <row r="40" ht="15.75" customHeight="1">
      <c r="A40" s="22" t="s">
        <v>291</v>
      </c>
      <c r="B40" s="22" t="s">
        <v>290</v>
      </c>
      <c r="C40" s="22">
        <v>6.0</v>
      </c>
      <c r="D40" s="87">
        <v>2.0</v>
      </c>
      <c r="E40" s="15"/>
      <c r="F40" s="15"/>
      <c r="G40" s="15"/>
      <c r="H40" s="18"/>
      <c r="I40" s="22" t="str">
        <f t="shared" si="1"/>
        <v>Correcto</v>
      </c>
    </row>
    <row r="41" ht="15.75" customHeight="1">
      <c r="A41" s="22" t="s">
        <v>292</v>
      </c>
      <c r="B41" s="22" t="s">
        <v>293</v>
      </c>
      <c r="C41" s="22">
        <v>10.0</v>
      </c>
      <c r="D41" s="87">
        <v>0.0</v>
      </c>
      <c r="E41" s="15"/>
      <c r="F41" s="15"/>
      <c r="G41" s="15"/>
      <c r="H41" s="18"/>
      <c r="I41" s="22" t="str">
        <f t="shared" si="1"/>
        <v>Correcto</v>
      </c>
    </row>
    <row r="42" ht="15.75" customHeight="1">
      <c r="A42" s="22" t="s">
        <v>294</v>
      </c>
      <c r="B42" s="22" t="s">
        <v>290</v>
      </c>
      <c r="C42" s="22">
        <v>30.0</v>
      </c>
      <c r="D42" s="87">
        <v>25.0</v>
      </c>
      <c r="E42" s="15"/>
      <c r="F42" s="15"/>
      <c r="G42" s="15"/>
      <c r="H42" s="18"/>
      <c r="I42" s="22" t="str">
        <f t="shared" si="1"/>
        <v>Correcto</v>
      </c>
    </row>
    <row r="43" ht="15.75" customHeight="1"/>
    <row r="44" ht="15.75" customHeight="1">
      <c r="A44" s="103" t="s">
        <v>295</v>
      </c>
      <c r="G44" s="73" t="s">
        <v>33</v>
      </c>
      <c r="H44" s="110">
        <f>B50</f>
        <v>40</v>
      </c>
    </row>
    <row r="45" ht="15.75" customHeight="1">
      <c r="G45" s="43" t="s">
        <v>296</v>
      </c>
    </row>
    <row r="46" ht="15.75" customHeight="1">
      <c r="A46" s="43" t="s">
        <v>297</v>
      </c>
    </row>
    <row r="47">
      <c r="A47" s="55" t="s">
        <v>298</v>
      </c>
      <c r="B47" s="87" t="s">
        <v>29</v>
      </c>
      <c r="C47" s="15"/>
      <c r="D47" s="15"/>
      <c r="E47" s="15"/>
      <c r="F47" s="15"/>
      <c r="G47" s="15"/>
      <c r="H47" s="18"/>
    </row>
    <row r="48" ht="15.75" customHeight="1">
      <c r="A48" s="55" t="s">
        <v>11</v>
      </c>
      <c r="B48" s="87" t="s">
        <v>299</v>
      </c>
      <c r="C48" s="15"/>
      <c r="D48" s="15"/>
      <c r="E48" s="15"/>
      <c r="F48" s="15"/>
      <c r="G48" s="15"/>
      <c r="H48" s="18"/>
    </row>
    <row r="49" ht="15.75" customHeight="1">
      <c r="A49" s="55" t="s">
        <v>259</v>
      </c>
      <c r="B49" s="117">
        <v>0.0</v>
      </c>
      <c r="C49" s="15"/>
      <c r="D49" s="15"/>
      <c r="E49" s="15"/>
      <c r="F49" s="15"/>
      <c r="G49" s="15"/>
      <c r="H49" s="18"/>
    </row>
    <row r="50" ht="15.75" customHeight="1">
      <c r="A50" s="55" t="s">
        <v>33</v>
      </c>
      <c r="B50" s="87">
        <v>40.0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09" t="s">
        <v>303</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14"/>
      <c r="C58" s="15"/>
      <c r="D58" s="15"/>
      <c r="E58" s="15"/>
      <c r="F58" s="15"/>
      <c r="G58" s="15"/>
      <c r="H58" s="18"/>
    </row>
    <row r="59" ht="15.75" customHeight="1">
      <c r="A59" s="55" t="s">
        <v>11</v>
      </c>
      <c r="B59" s="14"/>
      <c r="C59" s="15"/>
      <c r="D59" s="15"/>
      <c r="E59" s="15"/>
      <c r="F59" s="15"/>
      <c r="G59" s="15"/>
      <c r="H59" s="18"/>
    </row>
    <row r="60" ht="15.75" customHeight="1">
      <c r="A60" s="55" t="s">
        <v>259</v>
      </c>
      <c r="B60" s="117"/>
      <c r="C60" s="15"/>
      <c r="D60" s="15"/>
      <c r="E60" s="15"/>
      <c r="F60" s="15"/>
      <c r="G60" s="15"/>
      <c r="H60" s="18"/>
    </row>
    <row r="61" ht="15.75" customHeight="1">
      <c r="A61" s="55" t="s">
        <v>33</v>
      </c>
      <c r="B61" s="117"/>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109"/>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309</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3.0</v>
      </c>
      <c r="D5" s="15"/>
      <c r="E5" s="15"/>
      <c r="F5" s="15"/>
      <c r="G5" s="18"/>
    </row>
    <row r="6" ht="15.75" customHeight="1">
      <c r="B6" s="96" t="s">
        <v>21</v>
      </c>
      <c r="C6" s="14">
        <f>H10+H21+H44+H68</f>
        <v>110</v>
      </c>
      <c r="D6" s="15"/>
      <c r="E6" s="15"/>
      <c r="F6" s="15"/>
      <c r="G6" s="18"/>
      <c r="I6" s="11"/>
    </row>
    <row r="7" ht="15.75" customHeight="1">
      <c r="B7" s="96" t="s">
        <v>259</v>
      </c>
      <c r="C7" s="14">
        <f>B49+B60</f>
        <v>0</v>
      </c>
      <c r="D7" s="15"/>
      <c r="E7" s="15"/>
      <c r="F7" s="15"/>
      <c r="G7" s="18"/>
    </row>
    <row r="8" ht="15.75" customHeight="1">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10">
        <f>B13</f>
        <v>3</v>
      </c>
    </row>
    <row r="11" ht="15.75" customHeight="1">
      <c r="G11" s="43" t="s">
        <v>264</v>
      </c>
    </row>
    <row r="12" ht="15.75" customHeight="1">
      <c r="A12" s="55" t="s">
        <v>265</v>
      </c>
      <c r="B12" s="87" t="s">
        <v>272</v>
      </c>
      <c r="C12" s="15"/>
      <c r="D12" s="15"/>
      <c r="E12" s="15"/>
      <c r="F12" s="15"/>
      <c r="G12" s="15"/>
      <c r="H12" s="18"/>
    </row>
    <row r="13" ht="15.75" customHeight="1">
      <c r="A13" s="59" t="s">
        <v>33</v>
      </c>
      <c r="B13" s="87">
        <v>3.0</v>
      </c>
      <c r="C13" s="15"/>
      <c r="D13" s="15"/>
      <c r="E13" s="15"/>
      <c r="F13" s="15"/>
      <c r="G13" s="15"/>
      <c r="H13" s="18"/>
    </row>
    <row r="14" ht="15.75" customHeight="1">
      <c r="A14" s="108" t="s">
        <v>267</v>
      </c>
      <c r="B14" s="15"/>
      <c r="C14" s="15"/>
      <c r="D14" s="15"/>
      <c r="E14" s="15"/>
      <c r="F14" s="15"/>
      <c r="G14" s="15"/>
      <c r="H14" s="18"/>
    </row>
    <row r="15" ht="15.75" customHeight="1">
      <c r="A15" s="109" t="s">
        <v>275</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277</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10">
        <f>SUM(D39:H42)</f>
        <v>60</v>
      </c>
      <c r="I21" s="11"/>
    </row>
    <row r="22" ht="15.75" customHeight="1">
      <c r="G22" s="43" t="s">
        <v>273</v>
      </c>
    </row>
    <row r="23" ht="15.75" customHeight="1">
      <c r="A23" s="55" t="s">
        <v>274</v>
      </c>
      <c r="B23" s="87" t="s">
        <v>281</v>
      </c>
      <c r="C23" s="15"/>
      <c r="D23" s="15"/>
      <c r="E23" s="15"/>
      <c r="F23" s="15"/>
      <c r="G23" s="15"/>
      <c r="H23" s="18"/>
    </row>
    <row r="24" ht="15.75" customHeight="1">
      <c r="A24" s="55" t="s">
        <v>274</v>
      </c>
      <c r="B24" s="87" t="s">
        <v>29</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IFERROR(__xludf.DUMMYFUNCTION("FILTER('Diseño'!D:D,'Diseño'!H:H=$C$5)"),"Personalización del Kernel y Llamadas al Sistema")</f>
        <v>Personalización del Kernel y Llamadas al Sistema</v>
      </c>
      <c r="C28" s="18"/>
      <c r="D28" s="14" t="str">
        <f>IFERROR(__xludf.DUMMYFUNCTION("FILTER('Diseño'!E:E,'Diseño'!H:H=$C$5)"),"Gestión Avanzada del Kernel")</f>
        <v>Gestión Avanzada del Kernel</v>
      </c>
      <c r="E28" s="18"/>
      <c r="F28" s="14" t="str">
        <f>IFERROR(__xludf.DUMMYFUNCTION("FILTER('Diseño'!F:F,'Diseño'!H:H=$C$5)"),"Obtención y configuración del código fuente.")</f>
        <v>Obtención y configuración del código fuente.</v>
      </c>
      <c r="G28" s="15"/>
      <c r="H28" s="18"/>
    </row>
    <row r="29" ht="15.75" customHeight="1">
      <c r="A29" s="22">
        <v>2.0</v>
      </c>
      <c r="B29" s="14" t="str">
        <f>IFERROR(__xludf.DUMMYFUNCTION("""COMPUTED_VALUE"""),"Personalización del Kernel y Llamadas al Sistema")</f>
        <v>Personalización del Kernel y Llamadas al Sistema</v>
      </c>
      <c r="C29" s="18"/>
      <c r="D29" s="14" t="str">
        <f>IFERROR(__xludf.DUMMYFUNCTION("""COMPUTED_VALUE"""),"Gestión Avanzada del Kernel")</f>
        <v>Gestión Avanzada del Kernel</v>
      </c>
      <c r="E29" s="18"/>
      <c r="F29" s="14" t="str">
        <f>IFERROR(__xludf.DUMMYFUNCTION("""COMPUTED_VALUE"""),"Proceso de personalización, compilación e instalación.")</f>
        <v>Proceso de personalización, compilación e instalación.</v>
      </c>
      <c r="G29" s="15"/>
      <c r="H29" s="18"/>
    </row>
    <row r="30" ht="15.75" customHeight="1">
      <c r="A30" s="22">
        <v>3.0</v>
      </c>
      <c r="B30" s="14" t="str">
        <f>IFERROR(__xludf.DUMMYFUNCTION("""COMPUTED_VALUE"""),"Personalización del Kernel y Llamadas al Sistema")</f>
        <v>Personalización del Kernel y Llamadas al Sistema</v>
      </c>
      <c r="C30" s="18"/>
      <c r="D30" s="14" t="str">
        <f>IFERROR(__xludf.DUMMYFUNCTION("""COMPUTED_VALUE"""),"Gestión Avanzada del Kernel")</f>
        <v>Gestión Avanzada del Kernel</v>
      </c>
      <c r="E30" s="18"/>
      <c r="F30" s="14" t="str">
        <f>IFERROR(__xludf.DUMMYFUNCTION("""COMPUTED_VALUE"""),"Depuración y prueba de versiones personalizadas del kernel.")</f>
        <v>Depuración y prueba de versiones personalizadas del kernel.</v>
      </c>
      <c r="G30" s="15"/>
      <c r="H30" s="18"/>
    </row>
    <row r="31" ht="15.75" customHeight="1">
      <c r="A31" s="22">
        <v>4.0</v>
      </c>
      <c r="B31" s="14" t="str">
        <f>IFERROR(__xludf.DUMMYFUNCTION("""COMPUTED_VALUE"""),"Personalización del Kernel y Llamadas al Sistema")</f>
        <v>Personalización del Kernel y Llamadas al Sistema</v>
      </c>
      <c r="C31" s="18"/>
      <c r="D31" s="14" t="str">
        <f>IFERROR(__xludf.DUMMYFUNCTION("""COMPUTED_VALUE"""),"Llamadas al Sistema (Syscalls)")</f>
        <v>Llamadas al Sistema (Syscalls)</v>
      </c>
      <c r="E31" s="18"/>
      <c r="F31" s="14" t="str">
        <f>IFERROR(__xludf.DUMMYFUNCTION("""COMPUTED_VALUE"""),"Definición y función de la interfaz entre usuario y kernel.")</f>
        <v>Definición y función de la interfaz entre usuario y kernel.</v>
      </c>
      <c r="G31" s="15"/>
      <c r="H31" s="18"/>
    </row>
    <row r="32" ht="15.75" customHeight="1">
      <c r="A32" s="22">
        <v>5.0</v>
      </c>
      <c r="B32" s="14" t="str">
        <f>IFERROR(__xludf.DUMMYFUNCTION("""COMPUTED_VALUE"""),"Personalización del Kernel y Llamadas al Sistema")</f>
        <v>Personalización del Kernel y Llamadas al Sistema</v>
      </c>
      <c r="C32" s="18"/>
      <c r="D32" s="14" t="str">
        <f>IFERROR(__xludf.DUMMYFUNCTION("""COMPUTED_VALUE"""),"Llamadas al Sistema (Syscalls)")</f>
        <v>Llamadas al Sistema (Syscalls)</v>
      </c>
      <c r="E32" s="18"/>
      <c r="F32" s="14" t="str">
        <f>IFERROR(__xludf.DUMMYFUNCTION("""COMPUTED_VALUE"""),"Flujo de ejecución de una llamada al sistema.")</f>
        <v>Flujo de ejecución de una llamada al sistema.</v>
      </c>
      <c r="G32" s="15"/>
      <c r="H32" s="18"/>
    </row>
    <row r="33" ht="15.75" customHeight="1">
      <c r="A33" s="22">
        <v>6.0</v>
      </c>
      <c r="B33" s="14" t="str">
        <f>IFERROR(__xludf.DUMMYFUNCTION("""COMPUTED_VALUE"""),"Personalización del Kernel y Llamadas al Sistema")</f>
        <v>Personalización del Kernel y Llamadas al Sistema</v>
      </c>
      <c r="C33" s="18"/>
      <c r="D33" s="14" t="str">
        <f>IFERROR(__xludf.DUMMYFUNCTION("""COMPUTED_VALUE"""),"Llamadas al Sistema (Syscalls)")</f>
        <v>Llamadas al Sistema (Syscalls)</v>
      </c>
      <c r="E33" s="18"/>
      <c r="F33" s="14" t="str">
        <f>IFERROR(__xludf.DUMMYFUNCTION("""COMPUTED_VALUE"""),"Llamadas comunes para gestión de procesos: fork(), exec(), wait() y exit().")</f>
        <v>Llamadas comunes para gestión de procesos: fork(), exec(), wait() y exit().</v>
      </c>
      <c r="G33" s="15"/>
      <c r="H33" s="18"/>
    </row>
    <row r="34" ht="15.75" customHeight="1">
      <c r="A34" s="22">
        <v>7.0</v>
      </c>
      <c r="B34" s="14" t="str">
        <f>IFERROR(__xludf.DUMMYFUNCTION("""COMPUTED_VALUE"""),"Personalización del Kernel y Llamadas al Sistema")</f>
        <v>Personalización del Kernel y Llamadas al Sistema</v>
      </c>
      <c r="C34" s="18"/>
      <c r="D34" s="14" t="str">
        <f>IFERROR(__xludf.DUMMYFUNCTION("""COMPUTED_VALUE"""),"Llamadas al Sistema (Syscalls)")</f>
        <v>Llamadas al Sistema (Syscalls)</v>
      </c>
      <c r="E34" s="18"/>
      <c r="F34" s="14" t="str">
        <f>IFERROR(__xludf.DUMMYFUNCTION("""COMPUTED_VALUE"""),"Metodología para el desarrollo e implementación de nuevas syscalls.")</f>
        <v>Metodología para el desarrollo e implementación de nuevas syscalls.</v>
      </c>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87">
        <v>40.0</v>
      </c>
      <c r="E39" s="15"/>
      <c r="F39" s="15"/>
      <c r="G39" s="15"/>
      <c r="H39" s="18"/>
      <c r="I39" s="22" t="str">
        <f t="shared" ref="I39:I42" si="1">IF(D39&lt;=C39,"Correcto", "Corregir")</f>
        <v>Corregir</v>
      </c>
    </row>
    <row r="40" ht="15.75" customHeight="1">
      <c r="A40" s="22" t="s">
        <v>291</v>
      </c>
      <c r="B40" s="22" t="s">
        <v>290</v>
      </c>
      <c r="C40" s="22">
        <v>6.0</v>
      </c>
      <c r="D40" s="87">
        <v>3.0</v>
      </c>
      <c r="E40" s="15"/>
      <c r="F40" s="15"/>
      <c r="G40" s="15"/>
      <c r="H40" s="18"/>
      <c r="I40" s="22" t="str">
        <f t="shared" si="1"/>
        <v>Correcto</v>
      </c>
    </row>
    <row r="41" ht="15.75" customHeight="1">
      <c r="A41" s="22" t="s">
        <v>292</v>
      </c>
      <c r="B41" s="22" t="s">
        <v>293</v>
      </c>
      <c r="C41" s="22">
        <v>10.0</v>
      </c>
      <c r="D41" s="87">
        <v>0.0</v>
      </c>
      <c r="E41" s="15"/>
      <c r="F41" s="15"/>
      <c r="G41" s="15"/>
      <c r="H41" s="18"/>
      <c r="I41" s="22" t="str">
        <f t="shared" si="1"/>
        <v>Correcto</v>
      </c>
    </row>
    <row r="42" ht="15.75" customHeight="1">
      <c r="A42" s="22" t="s">
        <v>294</v>
      </c>
      <c r="B42" s="22" t="s">
        <v>290</v>
      </c>
      <c r="C42" s="22">
        <v>30.0</v>
      </c>
      <c r="D42" s="87">
        <v>17.0</v>
      </c>
      <c r="E42" s="15"/>
      <c r="F42" s="15"/>
      <c r="G42" s="15"/>
      <c r="H42" s="18"/>
      <c r="I42" s="22" t="str">
        <f t="shared" si="1"/>
        <v>Correcto</v>
      </c>
    </row>
    <row r="43" ht="15.75" customHeight="1"/>
    <row r="44" ht="15.75" customHeight="1">
      <c r="A44" s="103" t="s">
        <v>295</v>
      </c>
      <c r="G44" s="73" t="s">
        <v>33</v>
      </c>
      <c r="H44" s="110">
        <f>B50</f>
        <v>37</v>
      </c>
    </row>
    <row r="45" ht="15.75" customHeight="1">
      <c r="G45" s="43" t="s">
        <v>296</v>
      </c>
    </row>
    <row r="46" ht="15.75" customHeight="1">
      <c r="A46" s="43" t="s">
        <v>297</v>
      </c>
    </row>
    <row r="47">
      <c r="A47" s="55" t="s">
        <v>298</v>
      </c>
      <c r="B47" s="87" t="s">
        <v>29</v>
      </c>
      <c r="C47" s="15"/>
      <c r="D47" s="15"/>
      <c r="E47" s="15"/>
      <c r="F47" s="15"/>
      <c r="G47" s="15"/>
      <c r="H47" s="18"/>
    </row>
    <row r="48" ht="15.75" customHeight="1">
      <c r="A48" s="55" t="s">
        <v>11</v>
      </c>
      <c r="B48" s="87" t="s">
        <v>299</v>
      </c>
      <c r="C48" s="15"/>
      <c r="D48" s="15"/>
      <c r="E48" s="15"/>
      <c r="F48" s="15"/>
      <c r="G48" s="15"/>
      <c r="H48" s="18"/>
    </row>
    <row r="49" ht="15.75" customHeight="1">
      <c r="A49" s="55" t="s">
        <v>259</v>
      </c>
      <c r="B49" s="118">
        <v>0.0</v>
      </c>
      <c r="C49" s="15"/>
      <c r="D49" s="15"/>
      <c r="E49" s="15"/>
      <c r="F49" s="15"/>
      <c r="G49" s="15"/>
      <c r="H49" s="18"/>
    </row>
    <row r="50" ht="15.75" customHeight="1">
      <c r="A50" s="55" t="s">
        <v>33</v>
      </c>
      <c r="B50" s="87">
        <v>37.0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09" t="s">
        <v>302</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14"/>
      <c r="C58" s="15"/>
      <c r="D58" s="15"/>
      <c r="E58" s="15"/>
      <c r="F58" s="15"/>
      <c r="G58" s="15"/>
      <c r="H58" s="18"/>
    </row>
    <row r="59" ht="15.75" customHeight="1">
      <c r="A59" s="55" t="s">
        <v>11</v>
      </c>
      <c r="B59" s="14"/>
      <c r="C59" s="15"/>
      <c r="D59" s="15"/>
      <c r="E59" s="15"/>
      <c r="F59" s="15"/>
      <c r="G59" s="15"/>
      <c r="H59" s="18"/>
    </row>
    <row r="60" ht="15.75" customHeight="1">
      <c r="A60" s="55" t="s">
        <v>259</v>
      </c>
      <c r="B60" s="117"/>
      <c r="C60" s="15"/>
      <c r="D60" s="15"/>
      <c r="E60" s="15"/>
      <c r="F60" s="15"/>
      <c r="G60" s="15"/>
      <c r="H60" s="18"/>
    </row>
    <row r="61" ht="15.75" customHeight="1">
      <c r="A61" s="55" t="s">
        <v>33</v>
      </c>
      <c r="B61" s="117"/>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126"/>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310</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4.0</v>
      </c>
      <c r="D5" s="15"/>
      <c r="E5" s="15"/>
      <c r="F5" s="15"/>
      <c r="G5" s="18"/>
    </row>
    <row r="6" ht="15.75" customHeight="1">
      <c r="B6" s="96" t="s">
        <v>21</v>
      </c>
      <c r="C6" s="14">
        <f>H10+H21+H45+H69</f>
        <v>110</v>
      </c>
      <c r="D6" s="15"/>
      <c r="E6" s="15"/>
      <c r="F6" s="15"/>
      <c r="G6" s="18"/>
      <c r="I6" s="11"/>
    </row>
    <row r="7" ht="15.75" customHeight="1">
      <c r="B7" s="96" t="s">
        <v>259</v>
      </c>
      <c r="C7" s="14">
        <f>B50+B61</f>
        <v>0</v>
      </c>
      <c r="D7" s="15"/>
      <c r="E7" s="15"/>
      <c r="F7" s="15"/>
      <c r="G7" s="18"/>
    </row>
    <row r="8" ht="15.75" customHeight="1">
      <c r="B8" s="96" t="s">
        <v>261</v>
      </c>
      <c r="C8" s="101" t="str">
        <f>IF(H45&lt;=0,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10">
        <f>B13</f>
        <v>3</v>
      </c>
    </row>
    <row r="11" ht="15.75" customHeight="1">
      <c r="G11" s="43" t="s">
        <v>264</v>
      </c>
    </row>
    <row r="12" ht="15.75" customHeight="1">
      <c r="A12" s="55" t="s">
        <v>265</v>
      </c>
      <c r="B12" s="87" t="s">
        <v>282</v>
      </c>
      <c r="C12" s="15"/>
      <c r="D12" s="15"/>
      <c r="E12" s="15"/>
      <c r="F12" s="15"/>
      <c r="G12" s="15"/>
      <c r="H12" s="18"/>
    </row>
    <row r="13" ht="15.75" customHeight="1">
      <c r="A13" s="59" t="s">
        <v>33</v>
      </c>
      <c r="B13" s="87">
        <v>3.0</v>
      </c>
      <c r="C13" s="15"/>
      <c r="D13" s="15"/>
      <c r="E13" s="15"/>
      <c r="F13" s="15"/>
      <c r="G13" s="15"/>
      <c r="H13" s="18"/>
    </row>
    <row r="14" ht="15.75" customHeight="1">
      <c r="A14" s="108" t="s">
        <v>267</v>
      </c>
      <c r="B14" s="15"/>
      <c r="C14" s="15"/>
      <c r="D14" s="15"/>
      <c r="E14" s="15"/>
      <c r="F14" s="15"/>
      <c r="G14" s="15"/>
      <c r="H14" s="18"/>
    </row>
    <row r="15" ht="15.75" customHeight="1">
      <c r="A15" s="109" t="s">
        <v>283</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285</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SUM(D40:H43)</f>
        <v>60</v>
      </c>
      <c r="I21" s="11"/>
    </row>
    <row r="22" ht="15.75" customHeight="1">
      <c r="G22" s="43" t="s">
        <v>273</v>
      </c>
    </row>
    <row r="23" ht="15.75" customHeight="1">
      <c r="A23" s="55" t="s">
        <v>274</v>
      </c>
      <c r="B23" s="87" t="s">
        <v>29</v>
      </c>
      <c r="C23" s="15"/>
      <c r="D23" s="15"/>
      <c r="E23" s="15"/>
      <c r="F23" s="15"/>
      <c r="G23" s="15"/>
      <c r="H23" s="18"/>
    </row>
    <row r="24" ht="15.75" customHeight="1">
      <c r="A24" s="55" t="s">
        <v>274</v>
      </c>
      <c r="B24" s="87" t="s">
        <v>281</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IFERROR(__xludf.DUMMYFUNCTION("FILTER('Diseño'!D:D,'Diseño'!H:H=$C$5)"),"Gestión de Procesos")</f>
        <v>Gestión de Procesos</v>
      </c>
      <c r="C28" s="18"/>
      <c r="D28" s="14" t="str">
        <f>IFERROR(__xludf.DUMMYFUNCTION("FILTER('Diseño'!E:E,'Diseño'!H:H=$C$5)"),"Definición y Características de Procesos")</f>
        <v>Definición y Características de Procesos</v>
      </c>
      <c r="E28" s="18"/>
      <c r="F28" s="14" t="str">
        <f>IFERROR(__xludf.DUMMYFUNCTION("FILTER('Diseño'!F:F,'Diseño'!H:H=$C$5)"),"Diferencia entre un programa y un proceso en ejecución.")</f>
        <v>Diferencia entre un programa y un proceso en ejecución.</v>
      </c>
      <c r="G28" s="15"/>
      <c r="H28" s="18"/>
    </row>
    <row r="29" ht="15.75" customHeight="1">
      <c r="A29" s="22">
        <v>2.0</v>
      </c>
      <c r="B29" s="14" t="str">
        <f>IFERROR(__xludf.DUMMYFUNCTION("""COMPUTED_VALUE"""),"Gestión de Procesos")</f>
        <v>Gestión de Procesos</v>
      </c>
      <c r="C29" s="18"/>
      <c r="D29" s="14" t="str">
        <f>IFERROR(__xludf.DUMMYFUNCTION("""COMPUTED_VALUE"""),"Definición y Características de Procesos")</f>
        <v>Definición y Características de Procesos</v>
      </c>
      <c r="E29" s="18"/>
      <c r="F29" s="14" t="str">
        <f>IFERROR(__xludf.DUMMYFUNCTION("""COMPUTED_VALUE"""),"Identificadores de proceso: PID, PPID, UID y GID.")</f>
        <v>Identificadores de proceso: PID, PPID, UID y GID.</v>
      </c>
      <c r="G29" s="15"/>
      <c r="H29" s="18"/>
    </row>
    <row r="30" ht="15.75" customHeight="1">
      <c r="A30" s="22">
        <v>3.0</v>
      </c>
      <c r="B30" s="14" t="str">
        <f>IFERROR(__xludf.DUMMYFUNCTION("""COMPUTED_VALUE"""),"Gestión de Procesos")</f>
        <v>Gestión de Procesos</v>
      </c>
      <c r="C30" s="18"/>
      <c r="D30" s="14" t="str">
        <f>IFERROR(__xludf.DUMMYFUNCTION("""COMPUTED_VALUE"""),"Definición y Características de Procesos")</f>
        <v>Definición y Características de Procesos</v>
      </c>
      <c r="E30" s="18"/>
      <c r="F30" s="14" t="str">
        <f>IFERROR(__xludf.DUMMYFUNCTION("""COMPUTED_VALUE"""),"Aislamiento y espacio de direcciones independiente.")</f>
        <v>Aislamiento y espacio de direcciones independiente.</v>
      </c>
      <c r="G30" s="15"/>
      <c r="H30" s="18"/>
    </row>
    <row r="31" ht="15.75" customHeight="1">
      <c r="A31" s="22">
        <v>4.0</v>
      </c>
      <c r="B31" s="14" t="str">
        <f>IFERROR(__xludf.DUMMYFUNCTION("""COMPUTED_VALUE"""),"Gestión de Procesos")</f>
        <v>Gestión de Procesos</v>
      </c>
      <c r="C31" s="18"/>
      <c r="D31" s="14" t="str">
        <f>IFERROR(__xludf.DUMMYFUNCTION("""COMPUTED_VALUE"""),"Estructura Interna del Proceso")</f>
        <v>Estructura Interna del Proceso</v>
      </c>
      <c r="E31" s="18"/>
      <c r="F31" s="14" t="str">
        <f>IFERROR(__xludf.DUMMYFUNCTION("""COMPUTED_VALUE"""),"Secciones de memoria: Pila (stack), Montón (heap), Código (text) y Datos (data).")</f>
        <v>Secciones de memoria: Pila (stack), Montón (heap), Código (text) y Datos (data).</v>
      </c>
      <c r="G31" s="15"/>
      <c r="H31" s="18"/>
    </row>
    <row r="32" ht="15.75" customHeight="1">
      <c r="A32" s="22">
        <v>5.0</v>
      </c>
      <c r="B32" s="14" t="str">
        <f>IFERROR(__xludf.DUMMYFUNCTION("""COMPUTED_VALUE"""),"Gestión de Procesos")</f>
        <v>Gestión de Procesos</v>
      </c>
      <c r="C32" s="18"/>
      <c r="D32" s="14" t="str">
        <f>IFERROR(__xludf.DUMMYFUNCTION("""COMPUTED_VALUE"""),"Ciclo de Vida y Estados")</f>
        <v>Ciclo de Vida y Estados</v>
      </c>
      <c r="E32" s="18"/>
      <c r="F32" s="14" t="str">
        <f>IFERROR(__xludf.DUMMYFUNCTION("""COMPUTED_VALUE"""),"Estados del proceso: Nuevo, Listo, Ejecución (Modo usuario/kernel), Espera, Detenido y Zombi.")</f>
        <v>Estados del proceso: Nuevo, Listo, Ejecución (Modo usuario/kernel), Espera, Detenido y Zombi.</v>
      </c>
      <c r="G32" s="15"/>
      <c r="H32" s="18"/>
    </row>
    <row r="33" ht="15.75" customHeight="1">
      <c r="A33" s="22">
        <v>6.0</v>
      </c>
      <c r="B33" s="14" t="str">
        <f>IFERROR(__xludf.DUMMYFUNCTION("""COMPUTED_VALUE"""),"Gestión de Procesos")</f>
        <v>Gestión de Procesos</v>
      </c>
      <c r="C33" s="18"/>
      <c r="D33" s="14" t="str">
        <f>IFERROR(__xludf.DUMMYFUNCTION("""COMPUTED_VALUE"""),"Ciclo de Vida y Estados")</f>
        <v>Ciclo de Vida y Estados</v>
      </c>
      <c r="E33" s="18"/>
      <c r="F33" s="14" t="str">
        <f>IFERROR(__xludf.DUMMYFUNCTION("""COMPUTED_VALUE"""),"Gestión de transiciones de estado por el sistema operativo.")</f>
        <v>Gestión de transiciones de estado por el sistema operativo.</v>
      </c>
      <c r="G33" s="15"/>
      <c r="H33" s="18"/>
    </row>
    <row r="34" ht="15.75" customHeight="1">
      <c r="A34" s="22">
        <v>7.0</v>
      </c>
      <c r="B34" s="14" t="str">
        <f>IFERROR(__xludf.DUMMYFUNCTION("""COMPUTED_VALUE"""),"Gestión de Procesos")</f>
        <v>Gestión de Procesos</v>
      </c>
      <c r="C34" s="18"/>
      <c r="D34" s="14" t="str">
        <f>IFERROR(__xludf.DUMMYFUNCTION("""COMPUTED_VALUE"""),"Bloque de Control de Procesos (PCB)")</f>
        <v>Bloque de Control de Procesos (PCB)</v>
      </c>
      <c r="E34" s="18"/>
      <c r="F34" s="14" t="str">
        <f>IFERROR(__xludf.DUMMYFUNCTION("""COMPUTED_VALUE"""),"La estructura task_struct en el kernel de Linux.")</f>
        <v>La estructura task_struct en el kernel de Linux.</v>
      </c>
      <c r="G34" s="15"/>
      <c r="H34" s="18"/>
    </row>
    <row r="35" ht="15.75" customHeight="1">
      <c r="A35" s="120">
        <v>8.0</v>
      </c>
      <c r="B35" s="121" t="str">
        <f>IFERROR(__xludf.DUMMYFUNCTION("""COMPUTED_VALUE"""),"Gestión de Procesos")</f>
        <v>Gestión de Procesos</v>
      </c>
      <c r="C35" s="121"/>
      <c r="D35" s="121" t="str">
        <f>IFERROR(__xludf.DUMMYFUNCTION("""COMPUTED_VALUE"""),"Bloque de Control de Procesos (PCB)")</f>
        <v>Bloque de Control de Procesos (PCB)</v>
      </c>
      <c r="E35" s="121"/>
      <c r="F35" s="123" t="str">
        <f>IFERROR(__xludf.DUMMYFUNCTION("""COMPUTED_VALUE"""),"Almacenamiento de registros, información de memoria y recursos asociados.")</f>
        <v>Almacenamiento de registros, información de memoria y recursos asociados.</v>
      </c>
      <c r="G35" s="15"/>
      <c r="H35" s="18"/>
    </row>
    <row r="36" ht="15.75" customHeight="1">
      <c r="A36" s="111"/>
    </row>
    <row r="37" ht="15.75" customHeight="1">
      <c r="A37" s="111" t="s">
        <v>284</v>
      </c>
    </row>
    <row r="38" ht="15.75" customHeight="1">
      <c r="A38" s="11"/>
      <c r="B38" s="11"/>
      <c r="C38" s="11"/>
      <c r="D38" s="11"/>
      <c r="E38" s="11"/>
      <c r="F38" s="11"/>
      <c r="G38" s="11"/>
      <c r="H38" s="11"/>
    </row>
    <row r="39">
      <c r="A39" s="112" t="s">
        <v>286</v>
      </c>
      <c r="B39" s="112" t="s">
        <v>68</v>
      </c>
      <c r="C39" s="114" t="s">
        <v>287</v>
      </c>
      <c r="D39" s="115" t="s">
        <v>288</v>
      </c>
      <c r="E39" s="15"/>
      <c r="F39" s="15"/>
      <c r="G39" s="15"/>
      <c r="H39" s="18"/>
      <c r="I39" s="116" t="s">
        <v>219</v>
      </c>
    </row>
    <row r="40" ht="15.75" customHeight="1">
      <c r="A40" s="22" t="s">
        <v>289</v>
      </c>
      <c r="B40" s="22" t="s">
        <v>290</v>
      </c>
      <c r="C40" s="22">
        <v>30.0</v>
      </c>
      <c r="D40" s="87">
        <v>37.0</v>
      </c>
      <c r="E40" s="15"/>
      <c r="F40" s="15"/>
      <c r="G40" s="15"/>
      <c r="H40" s="18"/>
      <c r="I40" s="22" t="str">
        <f t="shared" ref="I40:I43" si="1">IF(D40&lt;=C40,"Correcto", "Corregir")</f>
        <v>Corregir</v>
      </c>
    </row>
    <row r="41" ht="15.75" customHeight="1">
      <c r="A41" s="22" t="s">
        <v>291</v>
      </c>
      <c r="B41" s="22" t="s">
        <v>290</v>
      </c>
      <c r="C41" s="22">
        <v>6.0</v>
      </c>
      <c r="D41" s="87">
        <v>3.0</v>
      </c>
      <c r="E41" s="15"/>
      <c r="F41" s="15"/>
      <c r="G41" s="15"/>
      <c r="H41" s="18"/>
      <c r="I41" s="22" t="str">
        <f t="shared" si="1"/>
        <v>Correcto</v>
      </c>
    </row>
    <row r="42" ht="15.75" customHeight="1">
      <c r="A42" s="22" t="s">
        <v>292</v>
      </c>
      <c r="B42" s="22" t="s">
        <v>293</v>
      </c>
      <c r="C42" s="22">
        <v>10.0</v>
      </c>
      <c r="D42" s="87">
        <v>0.0</v>
      </c>
      <c r="E42" s="15"/>
      <c r="F42" s="15"/>
      <c r="G42" s="15"/>
      <c r="H42" s="18"/>
      <c r="I42" s="22" t="str">
        <f t="shared" si="1"/>
        <v>Correcto</v>
      </c>
    </row>
    <row r="43" ht="15.75" customHeight="1">
      <c r="A43" s="22" t="s">
        <v>294</v>
      </c>
      <c r="B43" s="22" t="s">
        <v>290</v>
      </c>
      <c r="C43" s="22">
        <v>30.0</v>
      </c>
      <c r="D43" s="87">
        <v>20.0</v>
      </c>
      <c r="E43" s="15"/>
      <c r="F43" s="15"/>
      <c r="G43" s="15"/>
      <c r="H43" s="18"/>
      <c r="I43" s="22" t="str">
        <f t="shared" si="1"/>
        <v>Correcto</v>
      </c>
    </row>
    <row r="44" ht="15.75" customHeight="1"/>
    <row r="45" ht="15.75" customHeight="1">
      <c r="A45" s="103" t="s">
        <v>295</v>
      </c>
      <c r="G45" s="73" t="s">
        <v>33</v>
      </c>
      <c r="H45" s="106">
        <f>B51</f>
        <v>37</v>
      </c>
    </row>
    <row r="46" ht="15.75" customHeight="1">
      <c r="G46" s="43" t="s">
        <v>296</v>
      </c>
    </row>
    <row r="47" ht="15.75" customHeight="1">
      <c r="A47" s="43" t="s">
        <v>297</v>
      </c>
    </row>
    <row r="48">
      <c r="A48" s="55" t="s">
        <v>298</v>
      </c>
      <c r="B48" s="87" t="s">
        <v>29</v>
      </c>
      <c r="C48" s="15"/>
      <c r="D48" s="15"/>
      <c r="E48" s="15"/>
      <c r="F48" s="15"/>
      <c r="G48" s="15"/>
      <c r="H48" s="18"/>
    </row>
    <row r="49" ht="15.75" customHeight="1">
      <c r="A49" s="55" t="s">
        <v>11</v>
      </c>
      <c r="B49" s="87" t="s">
        <v>299</v>
      </c>
      <c r="C49" s="15"/>
      <c r="D49" s="15"/>
      <c r="E49" s="15"/>
      <c r="F49" s="15"/>
      <c r="G49" s="15"/>
      <c r="H49" s="18"/>
    </row>
    <row r="50" ht="15.75" customHeight="1">
      <c r="A50" s="55" t="s">
        <v>259</v>
      </c>
      <c r="B50" s="117">
        <v>0.0</v>
      </c>
      <c r="C50" s="15"/>
      <c r="D50" s="15"/>
      <c r="E50" s="15"/>
      <c r="F50" s="15"/>
      <c r="G50" s="15"/>
      <c r="H50" s="18"/>
    </row>
    <row r="51" ht="15.75" customHeight="1">
      <c r="A51" s="55" t="s">
        <v>33</v>
      </c>
      <c r="B51" s="87">
        <v>37.0</v>
      </c>
      <c r="C51" s="15"/>
      <c r="D51" s="15"/>
      <c r="E51" s="15"/>
      <c r="F51" s="15"/>
      <c r="G51" s="15"/>
      <c r="H51" s="18"/>
    </row>
    <row r="52" ht="15.75" customHeight="1">
      <c r="A52" s="119" t="s">
        <v>300</v>
      </c>
      <c r="B52" s="11"/>
      <c r="C52" s="11"/>
      <c r="D52" s="11"/>
      <c r="E52" s="11"/>
      <c r="F52" s="11"/>
      <c r="G52" s="11"/>
      <c r="H52" s="11"/>
    </row>
    <row r="53" ht="15.75" customHeight="1">
      <c r="A53" s="108" t="s">
        <v>301</v>
      </c>
      <c r="B53" s="15"/>
      <c r="C53" s="15"/>
      <c r="D53" s="15"/>
      <c r="E53" s="15"/>
      <c r="F53" s="15"/>
      <c r="G53" s="15"/>
      <c r="H53" s="18"/>
    </row>
    <row r="54" ht="15.75" customHeight="1">
      <c r="A54" s="109" t="s">
        <v>312</v>
      </c>
      <c r="B54" s="100"/>
      <c r="C54" s="100"/>
      <c r="D54" s="100"/>
      <c r="E54" s="100"/>
      <c r="F54" s="100"/>
      <c r="G54" s="100"/>
      <c r="H54" s="102"/>
    </row>
    <row r="55" ht="15.75" customHeight="1">
      <c r="A55" s="122"/>
      <c r="H55" s="124"/>
    </row>
    <row r="56" ht="15.75" customHeight="1">
      <c r="A56" s="104"/>
      <c r="B56" s="105"/>
      <c r="C56" s="105"/>
      <c r="D56" s="105"/>
      <c r="E56" s="105"/>
      <c r="F56" s="105"/>
      <c r="G56" s="105"/>
      <c r="H56" s="107"/>
    </row>
    <row r="57" ht="15.75" customHeight="1"/>
    <row r="58" ht="15.75" customHeight="1">
      <c r="A58" s="43" t="s">
        <v>304</v>
      </c>
    </row>
    <row r="59">
      <c r="A59" s="55" t="s">
        <v>298</v>
      </c>
      <c r="B59" s="14"/>
      <c r="C59" s="15"/>
      <c r="D59" s="15"/>
      <c r="E59" s="15"/>
      <c r="F59" s="15"/>
      <c r="G59" s="15"/>
      <c r="H59" s="18"/>
    </row>
    <row r="60" ht="15.75" customHeight="1">
      <c r="A60" s="55" t="s">
        <v>11</v>
      </c>
      <c r="B60" s="14"/>
      <c r="C60" s="15"/>
      <c r="D60" s="15"/>
      <c r="E60" s="15"/>
      <c r="F60" s="15"/>
      <c r="G60" s="15"/>
      <c r="H60" s="18"/>
    </row>
    <row r="61" ht="15.75" customHeight="1">
      <c r="A61" s="55" t="s">
        <v>259</v>
      </c>
      <c r="B61" s="117"/>
      <c r="C61" s="15"/>
      <c r="D61" s="15"/>
      <c r="E61" s="15"/>
      <c r="F61" s="15"/>
      <c r="G61" s="15"/>
      <c r="H61" s="18"/>
    </row>
    <row r="62" ht="15.75" customHeight="1">
      <c r="A62" s="55" t="s">
        <v>33</v>
      </c>
      <c r="B62" s="117"/>
      <c r="C62" s="15"/>
      <c r="D62" s="15"/>
      <c r="E62" s="15"/>
      <c r="F62" s="15"/>
      <c r="G62" s="15"/>
      <c r="H62" s="18"/>
    </row>
    <row r="63" ht="15.75" customHeight="1">
      <c r="A63" s="125" t="s">
        <v>305</v>
      </c>
      <c r="B63" s="11"/>
      <c r="C63" s="11"/>
      <c r="D63" s="11"/>
      <c r="E63" s="11"/>
      <c r="F63" s="11"/>
      <c r="G63" s="11"/>
      <c r="H63" s="11"/>
    </row>
    <row r="64" ht="15.75" customHeight="1">
      <c r="A64" s="108" t="s">
        <v>301</v>
      </c>
      <c r="B64" s="15"/>
      <c r="C64" s="15"/>
      <c r="D64" s="15"/>
      <c r="E64" s="15"/>
      <c r="F64" s="15"/>
      <c r="G64" s="15"/>
      <c r="H64" s="18"/>
    </row>
    <row r="65" ht="15.75" customHeight="1">
      <c r="A65" s="126"/>
      <c r="B65" s="100"/>
      <c r="C65" s="100"/>
      <c r="D65" s="100"/>
      <c r="E65" s="100"/>
      <c r="F65" s="100"/>
      <c r="G65" s="100"/>
      <c r="H65" s="102"/>
    </row>
    <row r="66" ht="15.75" customHeight="1">
      <c r="A66" s="122"/>
      <c r="H66" s="124"/>
    </row>
    <row r="67" ht="15.75" customHeight="1">
      <c r="A67" s="104"/>
      <c r="B67" s="105"/>
      <c r="C67" s="105"/>
      <c r="D67" s="105"/>
      <c r="E67" s="105"/>
      <c r="F67" s="105"/>
      <c r="G67" s="105"/>
      <c r="H67" s="107"/>
    </row>
    <row r="68" ht="15.75" customHeight="1"/>
    <row r="69" ht="15.75" customHeight="1">
      <c r="A69" s="103" t="s">
        <v>306</v>
      </c>
      <c r="G69" s="73" t="s">
        <v>33</v>
      </c>
      <c r="H69" s="110">
        <v>10.0</v>
      </c>
    </row>
    <row r="70" ht="15.75" customHeight="1">
      <c r="G70" s="43" t="s">
        <v>307</v>
      </c>
    </row>
    <row r="71" ht="15.75" customHeight="1">
      <c r="A71" s="55" t="s">
        <v>33</v>
      </c>
      <c r="B71" s="118">
        <v>11.0</v>
      </c>
      <c r="C71" s="15"/>
      <c r="D71" s="15"/>
      <c r="E71" s="15"/>
      <c r="F71" s="15"/>
      <c r="G71" s="15"/>
      <c r="H71" s="18"/>
    </row>
    <row r="72" ht="15.75" customHeight="1">
      <c r="A72" s="115" t="s">
        <v>308</v>
      </c>
      <c r="B72" s="15"/>
      <c r="C72" s="15"/>
      <c r="D72" s="15"/>
      <c r="E72" s="15"/>
      <c r="F72" s="15"/>
      <c r="G72" s="15"/>
      <c r="H72" s="18"/>
    </row>
    <row r="73" ht="15.75" customHeight="1">
      <c r="A73" s="109" t="s">
        <v>313</v>
      </c>
      <c r="B73" s="100"/>
      <c r="C73" s="100"/>
      <c r="D73" s="100"/>
      <c r="E73" s="100"/>
      <c r="F73" s="100"/>
      <c r="G73" s="100"/>
      <c r="H73" s="102"/>
    </row>
    <row r="74" ht="15.75" customHeight="1">
      <c r="A74" s="104"/>
      <c r="B74" s="105"/>
      <c r="C74" s="105"/>
      <c r="D74" s="105"/>
      <c r="E74" s="105"/>
      <c r="F74" s="105"/>
      <c r="G74" s="105"/>
      <c r="H74" s="107"/>
    </row>
    <row r="75" ht="15.75" customHeight="1">
      <c r="A75" s="43" t="s">
        <v>311</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D39:H39"/>
    <mergeCell ref="D40:H40"/>
    <mergeCell ref="D41:H41"/>
    <mergeCell ref="D42:H42"/>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5.0</v>
      </c>
      <c r="D5" s="15"/>
      <c r="E5" s="15"/>
      <c r="F5" s="15"/>
      <c r="G5" s="18"/>
    </row>
    <row r="6" ht="15.75" customHeight="1">
      <c r="B6" s="96" t="s">
        <v>21</v>
      </c>
      <c r="C6" s="14">
        <f>H10+H21+H45+H69</f>
        <v>110</v>
      </c>
      <c r="D6" s="15"/>
      <c r="E6" s="15"/>
      <c r="F6" s="15"/>
      <c r="G6" s="18"/>
      <c r="I6" s="11"/>
    </row>
    <row r="7" ht="15.75" customHeight="1">
      <c r="B7" s="96" t="s">
        <v>259</v>
      </c>
      <c r="C7" s="14">
        <f>B50+B61</f>
        <v>0</v>
      </c>
      <c r="D7" s="15"/>
      <c r="E7" s="15"/>
      <c r="F7" s="15"/>
      <c r="G7" s="18"/>
    </row>
    <row r="8" ht="15.75" customHeight="1">
      <c r="B8" s="96" t="s">
        <v>261</v>
      </c>
      <c r="C8" s="101" t="str">
        <f>IF(H45&lt;=0,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3</v>
      </c>
    </row>
    <row r="11" ht="15.75" customHeight="1">
      <c r="G11" s="43" t="s">
        <v>264</v>
      </c>
    </row>
    <row r="12" ht="15.75" customHeight="1">
      <c r="A12" s="55" t="s">
        <v>265</v>
      </c>
      <c r="B12" s="87" t="s">
        <v>315</v>
      </c>
      <c r="C12" s="15"/>
      <c r="D12" s="15"/>
      <c r="E12" s="15"/>
      <c r="F12" s="15"/>
      <c r="G12" s="15"/>
      <c r="H12" s="18"/>
    </row>
    <row r="13" ht="15.75" customHeight="1">
      <c r="A13" s="59" t="s">
        <v>33</v>
      </c>
      <c r="B13" s="87">
        <v>3.0</v>
      </c>
      <c r="C13" s="15"/>
      <c r="D13" s="15"/>
      <c r="E13" s="15"/>
      <c r="F13" s="15"/>
      <c r="G13" s="15"/>
      <c r="H13" s="18"/>
    </row>
    <row r="14" ht="15.75" customHeight="1">
      <c r="A14" s="108" t="s">
        <v>267</v>
      </c>
      <c r="B14" s="15"/>
      <c r="C14" s="15"/>
      <c r="D14" s="15"/>
      <c r="E14" s="15"/>
      <c r="F14" s="15"/>
      <c r="G14" s="15"/>
      <c r="H14" s="18"/>
    </row>
    <row r="15" ht="15.75" customHeight="1">
      <c r="A15" s="109" t="s">
        <v>317</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319</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SUM(D40:H43)</f>
        <v>57</v>
      </c>
      <c r="I21" s="11"/>
    </row>
    <row r="22" ht="15.75" customHeight="1">
      <c r="G22" s="43" t="s">
        <v>273</v>
      </c>
    </row>
    <row r="23" ht="15.75" customHeight="1">
      <c r="A23" s="55" t="s">
        <v>274</v>
      </c>
      <c r="B23" s="87" t="s">
        <v>81</v>
      </c>
      <c r="C23" s="15"/>
      <c r="D23" s="15"/>
      <c r="E23" s="15"/>
      <c r="F23" s="15"/>
      <c r="G23" s="15"/>
      <c r="H23" s="18"/>
    </row>
    <row r="24" ht="15.75" customHeight="1">
      <c r="A24" s="55" t="s">
        <v>274</v>
      </c>
      <c r="B24" s="87" t="s">
        <v>29</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IFERROR(__xludf.DUMMYFUNCTION("FILTER('Diseño'!D:D,'Diseño'!H:H=$C$5)"),"Hilos (Threads) y Concurrencia")</f>
        <v>Hilos (Threads) y Concurrencia</v>
      </c>
      <c r="C28" s="18"/>
      <c r="D28" s="14" t="str">
        <f>IFERROR(__xludf.DUMMYFUNCTION("FILTER('Diseño'!E:E,'Diseño'!H:H=$C$5)"),"Fundamentos de Hilos")</f>
        <v>Fundamentos de Hilos</v>
      </c>
      <c r="E28" s="18"/>
      <c r="F28" s="14" t="str">
        <f>IFERROR(__xludf.DUMMYFUNCTION("FILTER('Diseño'!F:F,'Diseño'!H:H=$C$5)"),"Definición de hilos como unidades mínimas de ejecución.")</f>
        <v>Definición de hilos como unidades mínimas de ejecución.</v>
      </c>
      <c r="G28" s="15"/>
      <c r="H28" s="18"/>
    </row>
    <row r="29" ht="15.75" customHeight="1">
      <c r="A29" s="22">
        <v>2.0</v>
      </c>
      <c r="B29" s="14" t="str">
        <f>IFERROR(__xludf.DUMMYFUNCTION("""COMPUTED_VALUE"""),"Hilos (Threads) y Concurrencia")</f>
        <v>Hilos (Threads) y Concurrencia</v>
      </c>
      <c r="C29" s="18"/>
      <c r="D29" s="14" t="str">
        <f>IFERROR(__xludf.DUMMYFUNCTION("""COMPUTED_VALUE"""),"Fundamentos de Hilos")</f>
        <v>Fundamentos de Hilos</v>
      </c>
      <c r="E29" s="18"/>
      <c r="F29" s="14" t="str">
        <f>IFERROR(__xludf.DUMMYFUNCTION("""COMPUTED_VALUE"""),"Compartición de recursos dentro de un mismo proceso (memoria y archivos).")</f>
        <v>Compartición de recursos dentro de un mismo proceso (memoria y archivos).</v>
      </c>
      <c r="G29" s="15"/>
      <c r="H29" s="18"/>
    </row>
    <row r="30" ht="15.75" customHeight="1">
      <c r="A30" s="22">
        <v>3.0</v>
      </c>
      <c r="B30" s="14" t="str">
        <f>IFERROR(__xludf.DUMMYFUNCTION("""COMPUTED_VALUE"""),"Hilos (Threads) y Concurrencia")</f>
        <v>Hilos (Threads) y Concurrencia</v>
      </c>
      <c r="C30" s="18"/>
      <c r="D30" s="14" t="str">
        <f>IFERROR(__xludf.DUMMYFUNCTION("""COMPUTED_VALUE"""),"Ejecución Multitarea")</f>
        <v>Ejecución Multitarea</v>
      </c>
      <c r="E30" s="18"/>
      <c r="F30" s="14" t="str">
        <f>IFERROR(__xludf.DUMMYFUNCTION("""COMPUTED_VALUE"""),"Concurrencia: Intercalación de tareas para simular simultaneidad.")</f>
        <v>Concurrencia: Intercalación de tareas para simular simultaneidad.</v>
      </c>
      <c r="G30" s="15"/>
      <c r="H30" s="18"/>
    </row>
    <row r="31" ht="15.75" customHeight="1">
      <c r="A31" s="22">
        <v>4.0</v>
      </c>
      <c r="B31" s="14" t="str">
        <f>IFERROR(__xludf.DUMMYFUNCTION("""COMPUTED_VALUE"""),"Hilos (Threads) y Concurrencia")</f>
        <v>Hilos (Threads) y Concurrencia</v>
      </c>
      <c r="C31" s="18"/>
      <c r="D31" s="14" t="str">
        <f>IFERROR(__xludf.DUMMYFUNCTION("""COMPUTED_VALUE"""),"Ejecución Multitarea")</f>
        <v>Ejecución Multitarea</v>
      </c>
      <c r="E31" s="18"/>
      <c r="F31" s="14" t="str">
        <f>IFERROR(__xludf.DUMMYFUNCTION("""COMPUTED_VALUE"""),"Paralelismo: Ejecución física simultánea en múltiples núcleos o procesadores.")</f>
        <v>Paralelismo: Ejecución física simultánea en múltiples núcleos o procesadores.</v>
      </c>
      <c r="G31" s="15"/>
      <c r="H31" s="18"/>
    </row>
    <row r="32" ht="15.75" customHeight="1">
      <c r="A32" s="22">
        <v>5.0</v>
      </c>
      <c r="B32" s="14" t="str">
        <f>IFERROR(__xludf.DUMMYFUNCTION("""COMPUTED_VALUE"""),"Hilos (Threads) y Concurrencia")</f>
        <v>Hilos (Threads) y Concurrencia</v>
      </c>
      <c r="C32" s="18"/>
      <c r="D32" s="14" t="str">
        <f>IFERROR(__xludf.DUMMYFUNCTION("""COMPUTED_VALUE"""),"Implementación y Gestión de Hilos")</f>
        <v>Implementación y Gestión de Hilos</v>
      </c>
      <c r="E32" s="18"/>
      <c r="F32" s="14" t="str">
        <f>IFERROR(__xludf.DUMMYFUNCTION("""COMPUTED_VALUE"""),"Creación, gestión y terminación de subprocesos.")</f>
        <v>Creación, gestión y terminación de subprocesos.</v>
      </c>
      <c r="G32" s="15"/>
      <c r="H32" s="18"/>
    </row>
    <row r="33" ht="15.75" customHeight="1">
      <c r="A33" s="22">
        <v>6.0</v>
      </c>
      <c r="B33" s="14" t="str">
        <f>IFERROR(__xludf.DUMMYFUNCTION("""COMPUTED_VALUE"""),"Hilos (Threads) y Concurrencia")</f>
        <v>Hilos (Threads) y Concurrencia</v>
      </c>
      <c r="C33" s="18"/>
      <c r="D33" s="14" t="str">
        <f>IFERROR(__xludf.DUMMYFUNCTION("""COMPUTED_VALUE"""),"Implementación y Gestión de Hilos")</f>
        <v>Implementación y Gestión de Hilos</v>
      </c>
      <c r="E33" s="18"/>
      <c r="F33" s="14" t="str">
        <f>IFERROR(__xludf.DUMMYFUNCTION("""COMPUTED_VALUE"""),"Uso de la biblioteca estándar PThreads.")</f>
        <v>Uso de la biblioteca estándar PThreads.</v>
      </c>
      <c r="G33" s="15"/>
      <c r="H33" s="18"/>
    </row>
    <row r="34" ht="15.75" customHeight="1">
      <c r="A34" s="22">
        <v>7.0</v>
      </c>
      <c r="B34" s="14" t="str">
        <f>IFERROR(__xludf.DUMMYFUNCTION("""COMPUTED_VALUE"""),"Hilos (Threads) y Concurrencia")</f>
        <v>Hilos (Threads) y Concurrencia</v>
      </c>
      <c r="C34" s="18"/>
      <c r="D34" s="14" t="str">
        <f>IFERROR(__xludf.DUMMYFUNCTION("""COMPUTED_VALUE"""),"Implementación y Gestión de Hilos")</f>
        <v>Implementación y Gestión de Hilos</v>
      </c>
      <c r="E34" s="18"/>
      <c r="F34" s="14" t="str">
        <f>IFERROR(__xludf.DUMMYFUNCTION("""COMPUTED_VALUE"""),"Tipos de hilos: Nivel de Usuario vs. Nivel de Kernel.")</f>
        <v>Tipos de hilos: Nivel de Usuario vs. Nivel de Kernel.</v>
      </c>
      <c r="G34" s="15"/>
      <c r="H34" s="18"/>
    </row>
    <row r="35" ht="15.75" customHeight="1">
      <c r="A35" s="120">
        <v>8.0</v>
      </c>
      <c r="B35" s="121" t="str">
        <f>IFERROR(__xludf.DUMMYFUNCTION("""COMPUTED_VALUE"""),"Hilos (Threads) y Concurrencia")</f>
        <v>Hilos (Threads) y Concurrencia</v>
      </c>
      <c r="C35" s="121"/>
      <c r="D35" s="121" t="str">
        <f>IFERROR(__xludf.DUMMYFUNCTION("""COMPUTED_VALUE"""),"Implementación y Gestión de Hilos")</f>
        <v>Implementación y Gestión de Hilos</v>
      </c>
      <c r="E35" s="121"/>
      <c r="F35" s="123" t="str">
        <f>IFERROR(__xludf.DUMMYFUNCTION("""COMPUTED_VALUE"""),"Consideraciones de diseño: compatibilidad y eficiencia.")</f>
        <v>Consideraciones de diseño: compatibilidad y eficiencia.</v>
      </c>
      <c r="G35" s="15"/>
      <c r="H35" s="18"/>
    </row>
    <row r="36" ht="15.75" customHeight="1">
      <c r="A36" s="111"/>
    </row>
    <row r="37" ht="15.75" customHeight="1">
      <c r="A37" s="111" t="s">
        <v>284</v>
      </c>
    </row>
    <row r="38" ht="15.75" customHeight="1">
      <c r="A38" s="11"/>
      <c r="B38" s="11"/>
      <c r="C38" s="11"/>
      <c r="D38" s="11"/>
      <c r="E38" s="11"/>
      <c r="F38" s="11"/>
      <c r="G38" s="11"/>
      <c r="H38" s="11"/>
    </row>
    <row r="39">
      <c r="A39" s="112" t="s">
        <v>286</v>
      </c>
      <c r="B39" s="112" t="s">
        <v>68</v>
      </c>
      <c r="C39" s="114" t="s">
        <v>287</v>
      </c>
      <c r="D39" s="115" t="s">
        <v>288</v>
      </c>
      <c r="E39" s="15"/>
      <c r="F39" s="15"/>
      <c r="G39" s="15"/>
      <c r="H39" s="18"/>
      <c r="I39" s="116" t="s">
        <v>219</v>
      </c>
    </row>
    <row r="40" ht="15.75" customHeight="1">
      <c r="A40" s="22" t="s">
        <v>289</v>
      </c>
      <c r="B40" s="22" t="s">
        <v>290</v>
      </c>
      <c r="C40" s="22">
        <v>30.0</v>
      </c>
      <c r="D40" s="87">
        <v>28.0</v>
      </c>
      <c r="E40" s="15"/>
      <c r="F40" s="15"/>
      <c r="G40" s="15"/>
      <c r="H40" s="18"/>
      <c r="I40" s="22" t="str">
        <f t="shared" ref="I40:I43" si="1">IF(D40&lt;=C40,"Correcto", "Corregir")</f>
        <v>Correcto</v>
      </c>
    </row>
    <row r="41" ht="15.75" customHeight="1">
      <c r="A41" s="22" t="s">
        <v>291</v>
      </c>
      <c r="B41" s="22" t="s">
        <v>290</v>
      </c>
      <c r="C41" s="22">
        <v>6.0</v>
      </c>
      <c r="D41" s="87">
        <v>2.0</v>
      </c>
      <c r="E41" s="15"/>
      <c r="F41" s="15"/>
      <c r="G41" s="15"/>
      <c r="H41" s="18"/>
      <c r="I41" s="22" t="str">
        <f t="shared" si="1"/>
        <v>Correcto</v>
      </c>
    </row>
    <row r="42" ht="15.75" customHeight="1">
      <c r="A42" s="22" t="s">
        <v>292</v>
      </c>
      <c r="B42" s="22" t="s">
        <v>293</v>
      </c>
      <c r="C42" s="22">
        <v>10.0</v>
      </c>
      <c r="D42" s="87">
        <v>0.0</v>
      </c>
      <c r="E42" s="15"/>
      <c r="F42" s="15"/>
      <c r="G42" s="15"/>
      <c r="H42" s="18"/>
      <c r="I42" s="22" t="str">
        <f t="shared" si="1"/>
        <v>Correcto</v>
      </c>
    </row>
    <row r="43" ht="15.75" customHeight="1">
      <c r="A43" s="22" t="s">
        <v>294</v>
      </c>
      <c r="B43" s="22" t="s">
        <v>290</v>
      </c>
      <c r="C43" s="22">
        <v>30.0</v>
      </c>
      <c r="D43" s="87">
        <v>27.0</v>
      </c>
      <c r="E43" s="15"/>
      <c r="F43" s="15"/>
      <c r="G43" s="15"/>
      <c r="H43" s="18"/>
      <c r="I43" s="22" t="str">
        <f t="shared" si="1"/>
        <v>Correcto</v>
      </c>
    </row>
    <row r="44" ht="15.75" customHeight="1"/>
    <row r="45" ht="15.75" customHeight="1">
      <c r="A45" s="103" t="s">
        <v>295</v>
      </c>
      <c r="G45" s="73" t="s">
        <v>33</v>
      </c>
      <c r="H45" s="106">
        <f>B51</f>
        <v>40</v>
      </c>
    </row>
    <row r="46" ht="15.75" customHeight="1">
      <c r="G46" s="43" t="s">
        <v>296</v>
      </c>
    </row>
    <row r="47" ht="15.75" customHeight="1">
      <c r="A47" s="43" t="s">
        <v>297</v>
      </c>
    </row>
    <row r="48">
      <c r="A48" s="55" t="s">
        <v>298</v>
      </c>
      <c r="B48" s="87" t="s">
        <v>81</v>
      </c>
      <c r="C48" s="15"/>
      <c r="D48" s="15"/>
      <c r="E48" s="15"/>
      <c r="F48" s="15"/>
      <c r="G48" s="15"/>
      <c r="H48" s="18"/>
    </row>
    <row r="49" ht="15.75" customHeight="1">
      <c r="A49" s="55" t="s">
        <v>11</v>
      </c>
      <c r="B49" s="87" t="s">
        <v>299</v>
      </c>
      <c r="C49" s="15"/>
      <c r="D49" s="15"/>
      <c r="E49" s="15"/>
      <c r="F49" s="15"/>
      <c r="G49" s="15"/>
      <c r="H49" s="18"/>
    </row>
    <row r="50" ht="15.75" customHeight="1">
      <c r="A50" s="55" t="s">
        <v>259</v>
      </c>
      <c r="B50" s="117">
        <v>0.0</v>
      </c>
      <c r="C50" s="15"/>
      <c r="D50" s="15"/>
      <c r="E50" s="15"/>
      <c r="F50" s="15"/>
      <c r="G50" s="15"/>
      <c r="H50" s="18"/>
    </row>
    <row r="51" ht="15.75" customHeight="1">
      <c r="A51" s="55" t="s">
        <v>33</v>
      </c>
      <c r="B51" s="87">
        <v>40.0</v>
      </c>
      <c r="C51" s="15"/>
      <c r="D51" s="15"/>
      <c r="E51" s="15"/>
      <c r="F51" s="15"/>
      <c r="G51" s="15"/>
      <c r="H51" s="18"/>
    </row>
    <row r="52" ht="15.75" customHeight="1">
      <c r="A52" s="119" t="s">
        <v>300</v>
      </c>
      <c r="B52" s="11"/>
      <c r="C52" s="11"/>
      <c r="D52" s="11"/>
      <c r="E52" s="11"/>
      <c r="F52" s="11"/>
      <c r="G52" s="11"/>
      <c r="H52" s="11"/>
    </row>
    <row r="53" ht="15.75" customHeight="1">
      <c r="A53" s="108" t="s">
        <v>301</v>
      </c>
      <c r="B53" s="15"/>
      <c r="C53" s="15"/>
      <c r="D53" s="15"/>
      <c r="E53" s="15"/>
      <c r="F53" s="15"/>
      <c r="G53" s="15"/>
      <c r="H53" s="18"/>
    </row>
    <row r="54" ht="15.75" customHeight="1">
      <c r="A54" s="109" t="s">
        <v>324</v>
      </c>
      <c r="B54" s="100"/>
      <c r="C54" s="100"/>
      <c r="D54" s="100"/>
      <c r="E54" s="100"/>
      <c r="F54" s="100"/>
      <c r="G54" s="100"/>
      <c r="H54" s="102"/>
    </row>
    <row r="55" ht="15.75" customHeight="1">
      <c r="A55" s="122"/>
      <c r="H55" s="124"/>
    </row>
    <row r="56" ht="15.75" customHeight="1">
      <c r="A56" s="104"/>
      <c r="B56" s="105"/>
      <c r="C56" s="105"/>
      <c r="D56" s="105"/>
      <c r="E56" s="105"/>
      <c r="F56" s="105"/>
      <c r="G56" s="105"/>
      <c r="H56" s="107"/>
    </row>
    <row r="57" ht="15.75" customHeight="1"/>
    <row r="58" ht="15.75" customHeight="1">
      <c r="A58" s="43" t="s">
        <v>304</v>
      </c>
    </row>
    <row r="59">
      <c r="A59" s="55" t="s">
        <v>298</v>
      </c>
      <c r="B59" s="14"/>
      <c r="C59" s="15"/>
      <c r="D59" s="15"/>
      <c r="E59" s="15"/>
      <c r="F59" s="15"/>
      <c r="G59" s="15"/>
      <c r="H59" s="18"/>
    </row>
    <row r="60" ht="15.75" customHeight="1">
      <c r="A60" s="55" t="s">
        <v>11</v>
      </c>
      <c r="B60" s="14"/>
      <c r="C60" s="15"/>
      <c r="D60" s="15"/>
      <c r="E60" s="15"/>
      <c r="F60" s="15"/>
      <c r="G60" s="15"/>
      <c r="H60" s="18"/>
    </row>
    <row r="61" ht="15.75" customHeight="1">
      <c r="A61" s="55" t="s">
        <v>259</v>
      </c>
      <c r="B61" s="117"/>
      <c r="C61" s="15"/>
      <c r="D61" s="15"/>
      <c r="E61" s="15"/>
      <c r="F61" s="15"/>
      <c r="G61" s="15"/>
      <c r="H61" s="18"/>
    </row>
    <row r="62" ht="15.75" customHeight="1">
      <c r="A62" s="55" t="s">
        <v>33</v>
      </c>
      <c r="B62" s="117"/>
      <c r="C62" s="15"/>
      <c r="D62" s="15"/>
      <c r="E62" s="15"/>
      <c r="F62" s="15"/>
      <c r="G62" s="15"/>
      <c r="H62" s="18"/>
    </row>
    <row r="63" ht="15.75" customHeight="1">
      <c r="A63" s="125" t="s">
        <v>305</v>
      </c>
      <c r="B63" s="11"/>
      <c r="C63" s="11"/>
      <c r="D63" s="11"/>
      <c r="E63" s="11"/>
      <c r="F63" s="11"/>
      <c r="G63" s="11"/>
      <c r="H63" s="11"/>
    </row>
    <row r="64" ht="15.75" customHeight="1">
      <c r="A64" s="108" t="s">
        <v>301</v>
      </c>
      <c r="B64" s="15"/>
      <c r="C64" s="15"/>
      <c r="D64" s="15"/>
      <c r="E64" s="15"/>
      <c r="F64" s="15"/>
      <c r="G64" s="15"/>
      <c r="H64" s="18"/>
    </row>
    <row r="65" ht="15.75" customHeight="1">
      <c r="A65" s="126"/>
      <c r="B65" s="100"/>
      <c r="C65" s="100"/>
      <c r="D65" s="100"/>
      <c r="E65" s="100"/>
      <c r="F65" s="100"/>
      <c r="G65" s="100"/>
      <c r="H65" s="102"/>
    </row>
    <row r="66" ht="15.75" customHeight="1">
      <c r="A66" s="122"/>
      <c r="H66" s="124"/>
    </row>
    <row r="67" ht="15.75" customHeight="1">
      <c r="A67" s="104"/>
      <c r="B67" s="105"/>
      <c r="C67" s="105"/>
      <c r="D67" s="105"/>
      <c r="E67" s="105"/>
      <c r="F67" s="105"/>
      <c r="G67" s="105"/>
      <c r="H67" s="107"/>
    </row>
    <row r="68" ht="15.75" customHeight="1"/>
    <row r="69" ht="15.75" customHeight="1">
      <c r="A69" s="103" t="s">
        <v>306</v>
      </c>
      <c r="G69" s="73" t="s">
        <v>33</v>
      </c>
      <c r="H69" s="106">
        <f>B71</f>
        <v>10</v>
      </c>
    </row>
    <row r="70" ht="15.75" customHeight="1">
      <c r="G70" s="43" t="s">
        <v>307</v>
      </c>
    </row>
    <row r="71" ht="15.75" customHeight="1">
      <c r="A71" s="55" t="s">
        <v>33</v>
      </c>
      <c r="B71" s="118">
        <v>10.0</v>
      </c>
      <c r="C71" s="15"/>
      <c r="D71" s="15"/>
      <c r="E71" s="15"/>
      <c r="F71" s="15"/>
      <c r="G71" s="15"/>
      <c r="H71" s="18"/>
    </row>
    <row r="72" ht="15.75" customHeight="1">
      <c r="A72" s="115" t="s">
        <v>308</v>
      </c>
      <c r="B72" s="15"/>
      <c r="C72" s="15"/>
      <c r="D72" s="15"/>
      <c r="E72" s="15"/>
      <c r="F72" s="15"/>
      <c r="G72" s="15"/>
      <c r="H72" s="18"/>
    </row>
    <row r="73" ht="15.75" customHeight="1">
      <c r="A73" s="109" t="s">
        <v>326</v>
      </c>
      <c r="B73" s="100"/>
      <c r="C73" s="100"/>
      <c r="D73" s="100"/>
      <c r="E73" s="100"/>
      <c r="F73" s="100"/>
      <c r="G73" s="100"/>
      <c r="H73" s="102"/>
    </row>
    <row r="74" ht="15.75" customHeight="1">
      <c r="A74" s="104"/>
      <c r="B74" s="105"/>
      <c r="C74" s="105"/>
      <c r="D74" s="105"/>
      <c r="E74" s="105"/>
      <c r="F74" s="105"/>
      <c r="G74" s="105"/>
      <c r="H74" s="107"/>
    </row>
    <row r="75" ht="15.75" customHeight="1">
      <c r="A75" s="43" t="s">
        <v>311</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D39:H39"/>
    <mergeCell ref="D40:H40"/>
    <mergeCell ref="D41:H41"/>
    <mergeCell ref="D42:H42"/>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6.0</v>
      </c>
      <c r="D5" s="15"/>
      <c r="E5" s="15"/>
      <c r="F5" s="15"/>
      <c r="G5" s="18"/>
    </row>
    <row r="6" ht="15.75" customHeight="1">
      <c r="B6" s="96" t="s">
        <v>21</v>
      </c>
      <c r="C6" s="14">
        <f>H10+H21+H45+H69</f>
        <v>110</v>
      </c>
      <c r="D6" s="15"/>
      <c r="E6" s="15"/>
      <c r="F6" s="15"/>
      <c r="G6" s="18"/>
      <c r="I6" s="11"/>
    </row>
    <row r="7" ht="15.75" customHeight="1">
      <c r="B7" s="96" t="s">
        <v>259</v>
      </c>
      <c r="C7" s="14">
        <f>B50+B61</f>
        <v>0</v>
      </c>
      <c r="D7" s="15"/>
      <c r="E7" s="15"/>
      <c r="F7" s="15"/>
      <c r="G7" s="18"/>
    </row>
    <row r="8" ht="15.75" customHeight="1">
      <c r="B8" s="96" t="s">
        <v>261</v>
      </c>
      <c r="C8" s="101" t="str">
        <f>IF(H45&lt;=0, "❌ ERROR: La Actividad 1 debe tener un tiempo mayor a 0.", IF(H21&gt;60, "❌ ERROR: El 'Área de Conocimiento' no puede exceder los 60 min.", IF((H10+H21+H45)&lt;100,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3</v>
      </c>
    </row>
    <row r="11" ht="15.75" customHeight="1">
      <c r="G11" s="43" t="s">
        <v>264</v>
      </c>
    </row>
    <row r="12" ht="15.75" customHeight="1">
      <c r="A12" s="55" t="s">
        <v>265</v>
      </c>
      <c r="B12" s="87" t="s">
        <v>314</v>
      </c>
      <c r="C12" s="15"/>
      <c r="D12" s="15"/>
      <c r="E12" s="15"/>
      <c r="F12" s="15"/>
      <c r="G12" s="15"/>
      <c r="H12" s="18"/>
    </row>
    <row r="13" ht="15.75" customHeight="1">
      <c r="A13" s="59" t="s">
        <v>33</v>
      </c>
      <c r="B13" s="87">
        <v>3.0</v>
      </c>
      <c r="C13" s="15"/>
      <c r="D13" s="15"/>
      <c r="E13" s="15"/>
      <c r="F13" s="15"/>
      <c r="G13" s="15"/>
      <c r="H13" s="18"/>
    </row>
    <row r="14" ht="15.75" customHeight="1">
      <c r="A14" s="108" t="s">
        <v>267</v>
      </c>
      <c r="B14" s="15"/>
      <c r="C14" s="15"/>
      <c r="D14" s="15"/>
      <c r="E14" s="15"/>
      <c r="F14" s="15"/>
      <c r="G14" s="15"/>
      <c r="H14" s="18"/>
    </row>
    <row r="15" ht="15.75" customHeight="1">
      <c r="A15" s="109" t="s">
        <v>316</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318</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SUM(D40:H43)</f>
        <v>57</v>
      </c>
      <c r="I21" s="11"/>
    </row>
    <row r="22" ht="15.75" customHeight="1">
      <c r="G22" s="43" t="s">
        <v>273</v>
      </c>
    </row>
    <row r="23" ht="15.75" customHeight="1">
      <c r="A23" s="55" t="s">
        <v>274</v>
      </c>
      <c r="B23" s="87" t="s">
        <v>81</v>
      </c>
      <c r="C23" s="15"/>
      <c r="D23" s="15"/>
      <c r="E23" s="15"/>
      <c r="F23" s="15"/>
      <c r="G23" s="15"/>
      <c r="H23" s="18"/>
    </row>
    <row r="24" ht="15.75" customHeight="1">
      <c r="A24" s="55" t="s">
        <v>274</v>
      </c>
      <c r="B24" s="87" t="s">
        <v>29</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IFERROR(__xludf.DUMMYFUNCTION("FILTER('Diseño'!D:D,'Diseño'!H:H=$C$5)"),"Sincronización de Procesos")</f>
        <v>Sincronización de Procesos</v>
      </c>
      <c r="C28" s="18"/>
      <c r="D28" s="14" t="str">
        <f>IFERROR(__xludf.DUMMYFUNCTION("FILTER('Diseño'!E:E,'Diseño'!H:H=$C$5)"),"Cooperación entre Procesos")</f>
        <v>Cooperación entre Procesos</v>
      </c>
      <c r="E28" s="18"/>
      <c r="F28" s="14" t="str">
        <f>IFERROR(__xludf.DUMMYFUNCTION("FILTER('Diseño'!F:F,'Diseño'!H:H=$C$5)"),"Problemas derivados del acceso a recursos compartidos.")</f>
        <v>Problemas derivados del acceso a recursos compartidos.</v>
      </c>
      <c r="G28" s="15"/>
      <c r="H28" s="18"/>
    </row>
    <row r="29" ht="15.75" customHeight="1">
      <c r="A29" s="22">
        <v>2.0</v>
      </c>
      <c r="B29" s="14" t="str">
        <f>IFERROR(__xludf.DUMMYFUNCTION("""COMPUTED_VALUE"""),"Sincronización de Procesos")</f>
        <v>Sincronización de Procesos</v>
      </c>
      <c r="C29" s="18"/>
      <c r="D29" s="14" t="str">
        <f>IFERROR(__xludf.DUMMYFUNCTION("""COMPUTED_VALUE"""),"Cooperación entre Procesos")</f>
        <v>Cooperación entre Procesos</v>
      </c>
      <c r="E29" s="18"/>
      <c r="F29" s="14" t="str">
        <f>IFERROR(__xludf.DUMMYFUNCTION("""COMPUTED_VALUE"""),"Condiciones de carrera (Race Conditions).")</f>
        <v>Condiciones de carrera (Race Conditions).</v>
      </c>
      <c r="G29" s="15"/>
      <c r="H29" s="18"/>
    </row>
    <row r="30" ht="15.75" customHeight="1">
      <c r="A30" s="22">
        <v>3.0</v>
      </c>
      <c r="B30" s="14" t="str">
        <f>IFERROR(__xludf.DUMMYFUNCTION("""COMPUTED_VALUE"""),"Sincronización de Procesos")</f>
        <v>Sincronización de Procesos</v>
      </c>
      <c r="C30" s="18"/>
      <c r="D30" s="14" t="str">
        <f>IFERROR(__xludf.DUMMYFUNCTION("""COMPUTED_VALUE"""),"La Sección Crítica")</f>
        <v>La Sección Crítica</v>
      </c>
      <c r="E30" s="18"/>
      <c r="F30" s="14" t="str">
        <f>IFERROR(__xludf.DUMMYFUNCTION("""COMPUTED_VALUE"""),"Identificación de segmentos de código sensibles.")</f>
        <v>Identificación de segmentos de código sensibles.</v>
      </c>
      <c r="G30" s="15"/>
      <c r="H30" s="18"/>
    </row>
    <row r="31" ht="15.75" customHeight="1">
      <c r="A31" s="22">
        <v>4.0</v>
      </c>
      <c r="B31" s="14" t="str">
        <f>IFERROR(__xludf.DUMMYFUNCTION("""COMPUTED_VALUE"""),"Sincronización de Procesos")</f>
        <v>Sincronización de Procesos</v>
      </c>
      <c r="C31" s="18"/>
      <c r="D31" s="14" t="str">
        <f>IFERROR(__xludf.DUMMYFUNCTION("""COMPUTED_VALUE"""),"La Sección Crítica")</f>
        <v>La Sección Crítica</v>
      </c>
      <c r="E31" s="18"/>
      <c r="F31" s="14" t="str">
        <f>IFERROR(__xludf.DUMMYFUNCTION("""COMPUTED_VALUE"""),"Requisitos para la solución de exclusión mutua: Progreso y espera limitada.")</f>
        <v>Requisitos para la solución de exclusión mutua: Progreso y espera limitada.</v>
      </c>
      <c r="G31" s="15"/>
      <c r="H31" s="18"/>
    </row>
    <row r="32" ht="15.75" customHeight="1">
      <c r="A32" s="22">
        <v>5.0</v>
      </c>
      <c r="B32" s="14" t="str">
        <f>IFERROR(__xludf.DUMMYFUNCTION("""COMPUTED_VALUE"""),"Sincronización de Procesos")</f>
        <v>Sincronización de Procesos</v>
      </c>
      <c r="C32" s="18"/>
      <c r="D32" s="14" t="str">
        <f>IFERROR(__xludf.DUMMYFUNCTION("""COMPUTED_VALUE"""),"Mecanismos de Sincronización")</f>
        <v>Mecanismos de Sincronización</v>
      </c>
      <c r="E32" s="18"/>
      <c r="F32" s="14" t="str">
        <f>IFERROR(__xludf.DUMMYFUNCTION("""COMPUTED_VALUE"""),"Semáforos: Operaciones atómicas wait y signal.")</f>
        <v>Semáforos: Operaciones atómicas wait y signal.</v>
      </c>
      <c r="G32" s="15"/>
      <c r="H32" s="18"/>
    </row>
    <row r="33" ht="15.75" customHeight="1">
      <c r="A33" s="22">
        <v>6.0</v>
      </c>
      <c r="B33" s="14" t="str">
        <f>IFERROR(__xludf.DUMMYFUNCTION("""COMPUTED_VALUE"""),"Sincronización de Procesos")</f>
        <v>Sincronización de Procesos</v>
      </c>
      <c r="C33" s="18"/>
      <c r="D33" s="14" t="str">
        <f>IFERROR(__xludf.DUMMYFUNCTION("""COMPUTED_VALUE"""),"Mecanismos de Sincronización")</f>
        <v>Mecanismos de Sincronización</v>
      </c>
      <c r="E33" s="18"/>
      <c r="F33" s="14" t="str">
        <f>IFERROR(__xludf.DUMMYFUNCTION("""COMPUTED_VALUE"""),"Mutexes: Bloqueos binarios para la exclusión mutua.")</f>
        <v>Mutexes: Bloqueos binarios para la exclusión mutua.</v>
      </c>
      <c r="G33" s="15"/>
      <c r="H33" s="18"/>
    </row>
    <row r="34" ht="15.75" customHeight="1">
      <c r="A34" s="22">
        <v>7.0</v>
      </c>
      <c r="B34" s="14" t="str">
        <f>IFERROR(__xludf.DUMMYFUNCTION("""COMPUTED_VALUE"""),"Sincronización de Procesos")</f>
        <v>Sincronización de Procesos</v>
      </c>
      <c r="C34" s="18"/>
      <c r="D34" s="14" t="str">
        <f>IFERROR(__xludf.DUMMYFUNCTION("""COMPUTED_VALUE"""),"Gestión de Fallos de Sincronización")</f>
        <v>Gestión de Fallos de Sincronización</v>
      </c>
      <c r="E34" s="18"/>
      <c r="F34" s="14" t="str">
        <f>IFERROR(__xludf.DUMMYFUNCTION("""COMPUTED_VALUE"""),"Detección de interbloqueos (Deadlocks).")</f>
        <v>Detección de interbloqueos (Deadlocks).</v>
      </c>
      <c r="G34" s="15"/>
      <c r="H34" s="18"/>
    </row>
    <row r="35" ht="15.75" customHeight="1">
      <c r="A35" s="127">
        <v>8.0</v>
      </c>
      <c r="B35" s="121" t="str">
        <f>IFERROR(__xludf.DUMMYFUNCTION("""COMPUTED_VALUE"""),"Sincronización de Procesos")</f>
        <v>Sincronización de Procesos</v>
      </c>
      <c r="C35" s="121"/>
      <c r="D35" s="121" t="str">
        <f>IFERROR(__xludf.DUMMYFUNCTION("""COMPUTED_VALUE"""),"Gestión de Fallos de Sincronización")</f>
        <v>Gestión de Fallos de Sincronización</v>
      </c>
      <c r="E35" s="121"/>
      <c r="F35" s="123" t="str">
        <f>IFERROR(__xludf.DUMMYFUNCTION("""COMPUTED_VALUE"""),"Estrategias de prevención y recuperación de errores en sistemas concurrentes.")</f>
        <v>Estrategias de prevención y recuperación de errores en sistemas concurrentes.</v>
      </c>
      <c r="G35" s="15"/>
      <c r="H35" s="18"/>
    </row>
    <row r="36" ht="15.75" customHeight="1">
      <c r="A36" s="111"/>
    </row>
    <row r="37" ht="15.75" customHeight="1">
      <c r="A37" s="111" t="s">
        <v>284</v>
      </c>
    </row>
    <row r="38" ht="15.75" customHeight="1">
      <c r="A38" s="11"/>
      <c r="B38" s="11"/>
      <c r="C38" s="11"/>
      <c r="D38" s="11"/>
      <c r="E38" s="11"/>
      <c r="F38" s="11"/>
      <c r="G38" s="11"/>
      <c r="H38" s="11"/>
    </row>
    <row r="39">
      <c r="A39" s="112" t="s">
        <v>286</v>
      </c>
      <c r="B39" s="112" t="s">
        <v>68</v>
      </c>
      <c r="C39" s="114" t="s">
        <v>287</v>
      </c>
      <c r="D39" s="115" t="s">
        <v>288</v>
      </c>
      <c r="E39" s="15"/>
      <c r="F39" s="15"/>
      <c r="G39" s="15"/>
      <c r="H39" s="18"/>
      <c r="I39" s="116" t="s">
        <v>219</v>
      </c>
    </row>
    <row r="40" ht="15.75" customHeight="1">
      <c r="A40" s="22" t="s">
        <v>289</v>
      </c>
      <c r="B40" s="22" t="s">
        <v>290</v>
      </c>
      <c r="C40" s="22">
        <v>30.0</v>
      </c>
      <c r="D40" s="87">
        <v>30.0</v>
      </c>
      <c r="E40" s="15"/>
      <c r="F40" s="15"/>
      <c r="G40" s="15"/>
      <c r="H40" s="18"/>
      <c r="I40" s="22" t="str">
        <f t="shared" ref="I40:I43" si="1">IF(D40&lt;=C40,"Correcto", "Corregir")</f>
        <v>Correcto</v>
      </c>
    </row>
    <row r="41" ht="15.75" customHeight="1">
      <c r="A41" s="22" t="s">
        <v>291</v>
      </c>
      <c r="B41" s="22" t="s">
        <v>290</v>
      </c>
      <c r="C41" s="22">
        <v>6.0</v>
      </c>
      <c r="D41" s="87">
        <v>2.0</v>
      </c>
      <c r="E41" s="15"/>
      <c r="F41" s="15"/>
      <c r="G41" s="15"/>
      <c r="H41" s="18"/>
      <c r="I41" s="22" t="str">
        <f t="shared" si="1"/>
        <v>Correcto</v>
      </c>
    </row>
    <row r="42" ht="15.75" customHeight="1">
      <c r="A42" s="22" t="s">
        <v>292</v>
      </c>
      <c r="B42" s="22" t="s">
        <v>293</v>
      </c>
      <c r="C42" s="22">
        <v>10.0</v>
      </c>
      <c r="D42" s="87">
        <v>0.0</v>
      </c>
      <c r="E42" s="15"/>
      <c r="F42" s="15"/>
      <c r="G42" s="15"/>
      <c r="H42" s="18"/>
      <c r="I42" s="22" t="str">
        <f t="shared" si="1"/>
        <v>Correcto</v>
      </c>
    </row>
    <row r="43" ht="15.75" customHeight="1">
      <c r="A43" s="22" t="s">
        <v>294</v>
      </c>
      <c r="B43" s="22" t="s">
        <v>290</v>
      </c>
      <c r="C43" s="22">
        <v>30.0</v>
      </c>
      <c r="D43" s="87">
        <v>25.0</v>
      </c>
      <c r="E43" s="15"/>
      <c r="F43" s="15"/>
      <c r="G43" s="15"/>
      <c r="H43" s="18"/>
      <c r="I43" s="22" t="str">
        <f t="shared" si="1"/>
        <v>Correcto</v>
      </c>
    </row>
    <row r="44" ht="15.75" customHeight="1"/>
    <row r="45" ht="15.75" customHeight="1">
      <c r="A45" s="103" t="s">
        <v>295</v>
      </c>
      <c r="G45" s="73" t="s">
        <v>33</v>
      </c>
      <c r="H45" s="106">
        <f>B51</f>
        <v>40</v>
      </c>
    </row>
    <row r="46" ht="15.75" customHeight="1">
      <c r="G46" s="43" t="s">
        <v>296</v>
      </c>
    </row>
    <row r="47" ht="15.75" customHeight="1">
      <c r="A47" s="43" t="s">
        <v>297</v>
      </c>
    </row>
    <row r="48">
      <c r="A48" s="55" t="s">
        <v>298</v>
      </c>
      <c r="B48" s="87" t="s">
        <v>81</v>
      </c>
      <c r="C48" s="15"/>
      <c r="D48" s="15"/>
      <c r="E48" s="15"/>
      <c r="F48" s="15"/>
      <c r="G48" s="15"/>
      <c r="H48" s="18"/>
    </row>
    <row r="49" ht="15.75" customHeight="1">
      <c r="A49" s="55" t="s">
        <v>11</v>
      </c>
      <c r="B49" s="14" t="s">
        <v>323</v>
      </c>
      <c r="C49" s="15"/>
      <c r="D49" s="15"/>
      <c r="E49" s="15"/>
      <c r="F49" s="15"/>
      <c r="G49" s="15"/>
      <c r="H49" s="18"/>
    </row>
    <row r="50" ht="15.75" customHeight="1">
      <c r="A50" s="55" t="s">
        <v>259</v>
      </c>
      <c r="B50" s="117">
        <v>0.0</v>
      </c>
      <c r="C50" s="15"/>
      <c r="D50" s="15"/>
      <c r="E50" s="15"/>
      <c r="F50" s="15"/>
      <c r="G50" s="15"/>
      <c r="H50" s="18"/>
    </row>
    <row r="51" ht="15.75" customHeight="1">
      <c r="A51" s="55" t="s">
        <v>33</v>
      </c>
      <c r="B51" s="87">
        <v>40.0</v>
      </c>
      <c r="C51" s="15"/>
      <c r="D51" s="15"/>
      <c r="E51" s="15"/>
      <c r="F51" s="15"/>
      <c r="G51" s="15"/>
      <c r="H51" s="18"/>
    </row>
    <row r="52" ht="15.75" customHeight="1">
      <c r="A52" s="119" t="s">
        <v>300</v>
      </c>
      <c r="B52" s="11"/>
      <c r="C52" s="11"/>
      <c r="D52" s="11"/>
      <c r="E52" s="11"/>
      <c r="F52" s="11"/>
      <c r="G52" s="11"/>
      <c r="H52" s="11"/>
    </row>
    <row r="53" ht="15.75" customHeight="1">
      <c r="A53" s="108" t="s">
        <v>301</v>
      </c>
      <c r="B53" s="15"/>
      <c r="C53" s="15"/>
      <c r="D53" s="15"/>
      <c r="E53" s="15"/>
      <c r="F53" s="15"/>
      <c r="G53" s="15"/>
      <c r="H53" s="18"/>
    </row>
    <row r="54" ht="15.75" customHeight="1">
      <c r="A54" s="109" t="s">
        <v>325</v>
      </c>
      <c r="B54" s="100"/>
      <c r="C54" s="100"/>
      <c r="D54" s="100"/>
      <c r="E54" s="100"/>
      <c r="F54" s="100"/>
      <c r="G54" s="100"/>
      <c r="H54" s="102"/>
    </row>
    <row r="55" ht="15.75" customHeight="1">
      <c r="A55" s="122"/>
      <c r="H55" s="124"/>
    </row>
    <row r="56" ht="15.75" customHeight="1">
      <c r="A56" s="104"/>
      <c r="B56" s="105"/>
      <c r="C56" s="105"/>
      <c r="D56" s="105"/>
      <c r="E56" s="105"/>
      <c r="F56" s="105"/>
      <c r="G56" s="105"/>
      <c r="H56" s="107"/>
    </row>
    <row r="57" ht="15.75" customHeight="1"/>
    <row r="58" ht="15.75" customHeight="1">
      <c r="A58" s="43" t="s">
        <v>304</v>
      </c>
    </row>
    <row r="59">
      <c r="A59" s="55" t="s">
        <v>298</v>
      </c>
      <c r="B59" s="14"/>
      <c r="C59" s="15"/>
      <c r="D59" s="15"/>
      <c r="E59" s="15"/>
      <c r="F59" s="15"/>
      <c r="G59" s="15"/>
      <c r="H59" s="18"/>
    </row>
    <row r="60" ht="15.75" customHeight="1">
      <c r="A60" s="55" t="s">
        <v>11</v>
      </c>
      <c r="B60" s="14"/>
      <c r="C60" s="15"/>
      <c r="D60" s="15"/>
      <c r="E60" s="15"/>
      <c r="F60" s="15"/>
      <c r="G60" s="15"/>
      <c r="H60" s="18"/>
    </row>
    <row r="61" ht="15.75" customHeight="1">
      <c r="A61" s="55" t="s">
        <v>259</v>
      </c>
      <c r="B61" s="117"/>
      <c r="C61" s="15"/>
      <c r="D61" s="15"/>
      <c r="E61" s="15"/>
      <c r="F61" s="15"/>
      <c r="G61" s="15"/>
      <c r="H61" s="18"/>
    </row>
    <row r="62" ht="15.75" customHeight="1">
      <c r="A62" s="55" t="s">
        <v>33</v>
      </c>
      <c r="B62" s="117"/>
      <c r="C62" s="15"/>
      <c r="D62" s="15"/>
      <c r="E62" s="15"/>
      <c r="F62" s="15"/>
      <c r="G62" s="15"/>
      <c r="H62" s="18"/>
    </row>
    <row r="63" ht="15.75" customHeight="1">
      <c r="A63" s="125" t="s">
        <v>305</v>
      </c>
      <c r="B63" s="11"/>
      <c r="C63" s="11"/>
      <c r="D63" s="11"/>
      <c r="E63" s="11"/>
      <c r="F63" s="11"/>
      <c r="G63" s="11"/>
      <c r="H63" s="11"/>
    </row>
    <row r="64" ht="15.75" customHeight="1">
      <c r="A64" s="108" t="s">
        <v>301</v>
      </c>
      <c r="B64" s="15"/>
      <c r="C64" s="15"/>
      <c r="D64" s="15"/>
      <c r="E64" s="15"/>
      <c r="F64" s="15"/>
      <c r="G64" s="15"/>
      <c r="H64" s="18"/>
    </row>
    <row r="65" ht="15.75" customHeight="1">
      <c r="A65" s="126"/>
      <c r="B65" s="100"/>
      <c r="C65" s="100"/>
      <c r="D65" s="100"/>
      <c r="E65" s="100"/>
      <c r="F65" s="100"/>
      <c r="G65" s="100"/>
      <c r="H65" s="102"/>
    </row>
    <row r="66" ht="15.75" customHeight="1">
      <c r="A66" s="122"/>
      <c r="H66" s="124"/>
    </row>
    <row r="67" ht="15.75" customHeight="1">
      <c r="A67" s="104"/>
      <c r="B67" s="105"/>
      <c r="C67" s="105"/>
      <c r="D67" s="105"/>
      <c r="E67" s="105"/>
      <c r="F67" s="105"/>
      <c r="G67" s="105"/>
      <c r="H67" s="107"/>
    </row>
    <row r="68" ht="15.75" customHeight="1"/>
    <row r="69" ht="15.75" customHeight="1">
      <c r="A69" s="103" t="s">
        <v>306</v>
      </c>
      <c r="G69" s="73" t="s">
        <v>33</v>
      </c>
      <c r="H69" s="106">
        <f>B71</f>
        <v>10</v>
      </c>
    </row>
    <row r="70" ht="15.75" customHeight="1">
      <c r="G70" s="43" t="s">
        <v>307</v>
      </c>
    </row>
    <row r="71" ht="15.75" customHeight="1">
      <c r="A71" s="55" t="s">
        <v>33</v>
      </c>
      <c r="B71" s="118">
        <v>10.0</v>
      </c>
      <c r="C71" s="15"/>
      <c r="D71" s="15"/>
      <c r="E71" s="15"/>
      <c r="F71" s="15"/>
      <c r="G71" s="15"/>
      <c r="H71" s="18"/>
    </row>
    <row r="72" ht="15.75" customHeight="1">
      <c r="A72" s="115" t="s">
        <v>308</v>
      </c>
      <c r="B72" s="15"/>
      <c r="C72" s="15"/>
      <c r="D72" s="15"/>
      <c r="E72" s="15"/>
      <c r="F72" s="15"/>
      <c r="G72" s="15"/>
      <c r="H72" s="18"/>
    </row>
    <row r="73" ht="15.75" customHeight="1">
      <c r="A73" s="109" t="s">
        <v>327</v>
      </c>
      <c r="B73" s="100"/>
      <c r="C73" s="100"/>
      <c r="D73" s="100"/>
      <c r="E73" s="100"/>
      <c r="F73" s="100"/>
      <c r="G73" s="100"/>
      <c r="H73" s="102"/>
    </row>
    <row r="74" ht="15.75" customHeight="1">
      <c r="A74" s="104"/>
      <c r="B74" s="105"/>
      <c r="C74" s="105"/>
      <c r="D74" s="105"/>
      <c r="E74" s="105"/>
      <c r="F74" s="105"/>
      <c r="G74" s="105"/>
      <c r="H74" s="107"/>
    </row>
    <row r="75" ht="15.75" customHeight="1">
      <c r="A75" s="43" t="s">
        <v>311</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D39:H39"/>
    <mergeCell ref="D40:H40"/>
    <mergeCell ref="D41:H41"/>
    <mergeCell ref="D42:H42"/>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7.0</v>
      </c>
      <c r="D5" s="15"/>
      <c r="E5" s="15"/>
      <c r="F5" s="15"/>
      <c r="G5" s="18"/>
    </row>
    <row r="6" ht="15.75" customHeight="1">
      <c r="B6" s="96" t="s">
        <v>21</v>
      </c>
      <c r="C6" s="14">
        <f>H10+H21+H44+H68</f>
        <v>114</v>
      </c>
      <c r="D6" s="15"/>
      <c r="E6" s="15"/>
      <c r="F6" s="15"/>
      <c r="G6" s="18"/>
      <c r="I6" s="11"/>
    </row>
    <row r="7" ht="15.75" customHeight="1">
      <c r="B7" s="96" t="s">
        <v>259</v>
      </c>
      <c r="C7" s="14">
        <f>B49+B60</f>
        <v>0</v>
      </c>
      <c r="D7" s="15"/>
      <c r="E7" s="15"/>
      <c r="F7" s="15"/>
      <c r="G7" s="18"/>
    </row>
    <row r="8" ht="15.75" customHeight="1">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5</v>
      </c>
    </row>
    <row r="11" ht="15.75" customHeight="1">
      <c r="G11" s="43" t="s">
        <v>264</v>
      </c>
    </row>
    <row r="12" ht="15.75" customHeight="1">
      <c r="A12" s="55" t="s">
        <v>265</v>
      </c>
      <c r="B12" s="53" t="s">
        <v>320</v>
      </c>
      <c r="C12" s="15"/>
      <c r="D12" s="15"/>
      <c r="E12" s="15"/>
      <c r="F12" s="15"/>
      <c r="G12" s="15"/>
      <c r="H12" s="18"/>
    </row>
    <row r="13" ht="15.75" customHeight="1">
      <c r="A13" s="59" t="s">
        <v>33</v>
      </c>
      <c r="B13" s="87">
        <v>5.0</v>
      </c>
      <c r="C13" s="15"/>
      <c r="D13" s="15"/>
      <c r="E13" s="15"/>
      <c r="F13" s="15"/>
      <c r="G13" s="15"/>
      <c r="H13" s="18"/>
    </row>
    <row r="14" ht="15.75" customHeight="1">
      <c r="A14" s="108" t="s">
        <v>267</v>
      </c>
      <c r="B14" s="15"/>
      <c r="C14" s="15"/>
      <c r="D14" s="15"/>
      <c r="E14" s="15"/>
      <c r="F14" s="15"/>
      <c r="G14" s="15"/>
      <c r="H14" s="18"/>
    </row>
    <row r="15" ht="15.75" customHeight="1">
      <c r="A15" s="109" t="s">
        <v>321</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322</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SUM(D39:H42)</f>
        <v>58</v>
      </c>
      <c r="I21" s="11"/>
    </row>
    <row r="22" ht="15.75" customHeight="1">
      <c r="G22" s="43" t="s">
        <v>273</v>
      </c>
    </row>
    <row r="23" ht="15.75" customHeight="1">
      <c r="A23" s="55" t="s">
        <v>274</v>
      </c>
      <c r="B23" s="87" t="s">
        <v>63</v>
      </c>
      <c r="C23" s="15"/>
      <c r="D23" s="15"/>
      <c r="E23" s="15"/>
      <c r="F23" s="15"/>
      <c r="G23" s="15"/>
      <c r="H23" s="18"/>
    </row>
    <row r="24" ht="15.75" customHeight="1">
      <c r="A24" s="55" t="s">
        <v>274</v>
      </c>
      <c r="B24" s="87" t="s">
        <v>29</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IFERROR(__xludf.DUMMYFUNCTION("FILTER('Diseño'!D:D,'Diseño'!H:H=$C$5)"),"Gestión de Memoria")</f>
        <v>Gestión de Memoria</v>
      </c>
      <c r="C28" s="18"/>
      <c r="D28" s="14" t="str">
        <f>IFERROR(__xludf.DUMMYFUNCTION("FILTER('Diseño'!E:E,'Diseño'!H:H=$C$5)"),"Memoria Virtual")</f>
        <v>Memoria Virtual</v>
      </c>
      <c r="E28" s="18"/>
      <c r="F28" s="14" t="str">
        <f>IFERROR(__xludf.DUMMYFUNCTION("FILTER('Diseño'!F:F,'Diseño'!H:H=$C$5)"),"Algoritmos de reemplazo de páginas: FIFO, LRU y Óptimo — análisis comparativo.")</f>
        <v>Algoritmos de reemplazo de páginas: FIFO, LRU y Óptimo — análisis comparativo.</v>
      </c>
      <c r="G28" s="15"/>
      <c r="H28" s="18"/>
    </row>
    <row r="29" ht="15.75" customHeight="1">
      <c r="A29" s="22">
        <v>2.0</v>
      </c>
      <c r="B29" s="14" t="str">
        <f>IFERROR(__xludf.DUMMYFUNCTION("""COMPUTED_VALUE"""),"Gestión de Memoria")</f>
        <v>Gestión de Memoria</v>
      </c>
      <c r="C29" s="18"/>
      <c r="D29" s="14" t="str">
        <f>IFERROR(__xludf.DUMMYFUNCTION("""COMPUTED_VALUE"""),"Memoria Virtual")</f>
        <v>Memoria Virtual</v>
      </c>
      <c r="E29" s="18"/>
      <c r="F29" s="14" t="str">
        <f>IFERROR(__xludf.DUMMYFUNCTION("""COMPUTED_VALUE"""),"Paginación bajo demanda y manejo de fallos de página (page fault).")</f>
        <v>Paginación bajo demanda y manejo de fallos de página (page fault).</v>
      </c>
      <c r="G29" s="15"/>
      <c r="H29" s="18"/>
    </row>
    <row r="30" ht="15.75" customHeight="1">
      <c r="A30" s="22">
        <v>3.0</v>
      </c>
      <c r="B30" s="14" t="str">
        <f>IFERROR(__xludf.DUMMYFUNCTION("""COMPUTED_VALUE"""),"Gestión de Memoria")</f>
        <v>Gestión de Memoria</v>
      </c>
      <c r="C30" s="18"/>
      <c r="D30" s="14" t="str">
        <f>IFERROR(__xludf.DUMMYFUNCTION("""COMPUTED_VALUE"""),"Fragmentación")</f>
        <v>Fragmentación</v>
      </c>
      <c r="E30" s="18"/>
      <c r="F30" s="14" t="str">
        <f>IFERROR(__xludf.DUMMYFUNCTION("""COMPUTED_VALUE"""),"Fragmentación interna y externa: impacto en rendimiento y estrategias de mitigación.")</f>
        <v>Fragmentación interna y externa: impacto en rendimiento y estrategias de mitigación.</v>
      </c>
      <c r="G30" s="15"/>
      <c r="H30" s="18"/>
    </row>
    <row r="31" ht="15.75" customHeight="1">
      <c r="A31" s="22">
        <v>4.0</v>
      </c>
      <c r="B31" s="14" t="str">
        <f>IFERROR(__xludf.DUMMYFUNCTION("""COMPUTED_VALUE"""),"Gestión de Memoria")</f>
        <v>Gestión de Memoria</v>
      </c>
      <c r="C31" s="18"/>
      <c r="D31" s="14" t="str">
        <f>IFERROR(__xludf.DUMMYFUNCTION("""COMPUTED_VALUE"""),"Traducción de Direcciones")</f>
        <v>Traducción de Direcciones</v>
      </c>
      <c r="E31" s="18"/>
      <c r="F31" s="14" t="str">
        <f>IFERROR(__xludf.DUMMYFUNCTION("""COMPUTED_VALUE"""),"MMU y tablas de páginas multinivel: traducción de direcciones virtuales a físicas.")</f>
        <v>MMU y tablas de páginas multinivel: traducción de direcciones virtuales a físicas.</v>
      </c>
      <c r="G31" s="15"/>
      <c r="H31" s="18"/>
    </row>
    <row r="32" ht="15.75" customHeight="1">
      <c r="A32" s="22">
        <v>5.0</v>
      </c>
      <c r="B32" s="14" t="str">
        <f>IFERROR(__xludf.DUMMYFUNCTION("""COMPUTED_VALUE"""),"Gestión de Memoria")</f>
        <v>Gestión de Memoria</v>
      </c>
      <c r="C32" s="18"/>
      <c r="D32" s="14" t="str">
        <f>IFERROR(__xludf.DUMMYFUNCTION("""COMPUTED_VALUE"""),"Aislamiento de Procesos")</f>
        <v>Aislamiento de Procesos</v>
      </c>
      <c r="E32" s="18"/>
      <c r="F32" s="14" t="str">
        <f>IFERROR(__xludf.DUMMYFUNCTION("""COMPUTED_VALUE"""),"Aislamiento mediante espacios de direcciones virtuales independientes.")</f>
        <v>Aislamiento mediante espacios de direcciones virtuales independientes.</v>
      </c>
      <c r="G32" s="15"/>
      <c r="H32" s="18"/>
    </row>
    <row r="33" ht="15.75" customHeight="1">
      <c r="A33" s="22">
        <v>6.0</v>
      </c>
      <c r="B33" s="14" t="str">
        <f>IFERROR(__xludf.DUMMYFUNCTION("""COMPUTED_VALUE"""),"Gestión de Memoria")</f>
        <v>Gestión de Memoria</v>
      </c>
      <c r="C33" s="18"/>
      <c r="D33" s="14" t="str">
        <f>IFERROR(__xludf.DUMMYFUNCTION("""COMPUTED_VALUE"""),"Modelos de Memoria")</f>
        <v>Modelos de Memoria</v>
      </c>
      <c r="E33" s="18"/>
      <c r="F33" s="14" t="str">
        <f>IFERROR(__xludf.DUMMYFUNCTION("""COMPUTED_VALUE"""),"Segmentación vs. paginación: comparativa y uso en sistemas modernos.")</f>
        <v>Segmentación vs. paginación: comparativa y uso en sistemas modernos.</v>
      </c>
      <c r="G33" s="15"/>
      <c r="H33" s="18"/>
    </row>
    <row r="34" ht="15.75" customHeight="1">
      <c r="A34" s="22">
        <v>7.0</v>
      </c>
      <c r="B34" s="14"/>
      <c r="C34" s="18"/>
      <c r="D34" s="14"/>
      <c r="E34" s="18"/>
      <c r="F34" s="14"/>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128">
        <v>28.0</v>
      </c>
      <c r="E39" s="15"/>
      <c r="F39" s="15"/>
      <c r="G39" s="15"/>
      <c r="H39" s="18"/>
      <c r="I39" s="22" t="str">
        <f t="shared" ref="I39:I42" si="1">IF(D39&lt;=C39,"Correcto", "Corregir")</f>
        <v>Correcto</v>
      </c>
    </row>
    <row r="40" ht="15.75" customHeight="1">
      <c r="A40" s="22" t="s">
        <v>291</v>
      </c>
      <c r="B40" s="22" t="s">
        <v>290</v>
      </c>
      <c r="C40" s="22">
        <v>6.0</v>
      </c>
      <c r="D40" s="129">
        <v>5.0</v>
      </c>
      <c r="E40" s="15"/>
      <c r="F40" s="15"/>
      <c r="G40" s="15"/>
      <c r="H40" s="18"/>
      <c r="I40" s="22" t="str">
        <f t="shared" si="1"/>
        <v>Correcto</v>
      </c>
    </row>
    <row r="41" ht="15.75" customHeight="1">
      <c r="A41" s="22" t="s">
        <v>292</v>
      </c>
      <c r="B41" s="22" t="s">
        <v>293</v>
      </c>
      <c r="C41" s="22">
        <v>10.0</v>
      </c>
      <c r="D41" s="129">
        <v>0.0</v>
      </c>
      <c r="E41" s="15"/>
      <c r="F41" s="15"/>
      <c r="G41" s="15"/>
      <c r="H41" s="18"/>
      <c r="I41" s="22" t="str">
        <f t="shared" si="1"/>
        <v>Correcto</v>
      </c>
    </row>
    <row r="42" ht="15.75" customHeight="1">
      <c r="A42" s="22" t="s">
        <v>294</v>
      </c>
      <c r="B42" s="22" t="s">
        <v>290</v>
      </c>
      <c r="C42" s="22">
        <v>30.0</v>
      </c>
      <c r="D42" s="129">
        <v>25.0</v>
      </c>
      <c r="E42" s="15"/>
      <c r="F42" s="15"/>
      <c r="G42" s="15"/>
      <c r="H42" s="18"/>
      <c r="I42" s="22" t="str">
        <f t="shared" si="1"/>
        <v>Correcto</v>
      </c>
    </row>
    <row r="43" ht="15.75" customHeight="1"/>
    <row r="44" ht="15.75" customHeight="1">
      <c r="A44" s="103" t="s">
        <v>295</v>
      </c>
      <c r="G44" s="73" t="s">
        <v>33</v>
      </c>
      <c r="H44" s="106">
        <f>B50</f>
        <v>41</v>
      </c>
    </row>
    <row r="45" ht="15.75" customHeight="1">
      <c r="G45" s="43" t="s">
        <v>296</v>
      </c>
    </row>
    <row r="46" ht="15.75" customHeight="1">
      <c r="A46" s="43" t="s">
        <v>297</v>
      </c>
    </row>
    <row r="47">
      <c r="A47" s="55" t="s">
        <v>298</v>
      </c>
      <c r="B47" s="87" t="s">
        <v>63</v>
      </c>
      <c r="C47" s="15"/>
      <c r="D47" s="15"/>
      <c r="E47" s="15"/>
      <c r="F47" s="15"/>
      <c r="G47" s="15"/>
      <c r="H47" s="18"/>
    </row>
    <row r="48" ht="15.75" customHeight="1">
      <c r="A48" s="55" t="s">
        <v>11</v>
      </c>
      <c r="B48" s="87" t="s">
        <v>299</v>
      </c>
      <c r="C48" s="15"/>
      <c r="D48" s="15"/>
      <c r="E48" s="15"/>
      <c r="F48" s="15"/>
      <c r="G48" s="15"/>
      <c r="H48" s="18"/>
    </row>
    <row r="49" ht="15.75" customHeight="1">
      <c r="A49" s="55" t="s">
        <v>259</v>
      </c>
      <c r="B49" s="117">
        <v>0.0</v>
      </c>
      <c r="C49" s="15"/>
      <c r="D49" s="15"/>
      <c r="E49" s="15"/>
      <c r="F49" s="15"/>
      <c r="G49" s="15"/>
      <c r="H49" s="18"/>
    </row>
    <row r="50" ht="15.75" customHeight="1">
      <c r="A50" s="55" t="s">
        <v>33</v>
      </c>
      <c r="B50" s="87">
        <v>41.0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30" t="s">
        <v>328</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87"/>
      <c r="C58" s="15"/>
      <c r="D58" s="15"/>
      <c r="E58" s="15"/>
      <c r="F58" s="15"/>
      <c r="G58" s="15"/>
      <c r="H58" s="18"/>
    </row>
    <row r="59" ht="15.75" customHeight="1">
      <c r="A59" s="55" t="s">
        <v>11</v>
      </c>
      <c r="B59" s="87"/>
      <c r="C59" s="15"/>
      <c r="D59" s="15"/>
      <c r="E59" s="15"/>
      <c r="F59" s="15"/>
      <c r="G59" s="15"/>
      <c r="H59" s="18"/>
    </row>
    <row r="60" ht="15.75" customHeight="1">
      <c r="A60" s="55" t="s">
        <v>259</v>
      </c>
      <c r="B60" s="118"/>
      <c r="C60" s="15"/>
      <c r="D60" s="15"/>
      <c r="E60" s="15"/>
      <c r="F60" s="15"/>
      <c r="G60" s="15"/>
      <c r="H60" s="18"/>
    </row>
    <row r="61" ht="15.75" customHeight="1">
      <c r="A61" s="55" t="s">
        <v>33</v>
      </c>
      <c r="B61" s="118"/>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99"/>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309</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8.0</v>
      </c>
      <c r="D5" s="15"/>
      <c r="E5" s="15"/>
      <c r="F5" s="15"/>
      <c r="G5" s="18"/>
    </row>
    <row r="6" ht="15.75" customHeight="1">
      <c r="B6" s="96" t="s">
        <v>21</v>
      </c>
      <c r="C6" s="14">
        <f>H10+H21+H44+H68</f>
        <v>113</v>
      </c>
      <c r="D6" s="15"/>
      <c r="E6" s="15"/>
      <c r="F6" s="15"/>
      <c r="G6" s="18"/>
      <c r="I6" s="11"/>
    </row>
    <row r="7" ht="15.75" customHeight="1">
      <c r="B7" s="96" t="s">
        <v>259</v>
      </c>
      <c r="C7" s="14">
        <f>B49+B60</f>
        <v>0</v>
      </c>
      <c r="D7" s="15"/>
      <c r="E7" s="15"/>
      <c r="F7" s="15"/>
      <c r="G7" s="18"/>
    </row>
    <row r="8" ht="15.75" customHeight="1">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5</v>
      </c>
    </row>
    <row r="11" ht="15.75" customHeight="1">
      <c r="G11" s="43" t="s">
        <v>264</v>
      </c>
    </row>
    <row r="12" ht="15.75" customHeight="1">
      <c r="A12" s="55" t="s">
        <v>265</v>
      </c>
      <c r="B12" s="87" t="s">
        <v>329</v>
      </c>
      <c r="C12" s="131"/>
      <c r="D12" s="131"/>
      <c r="E12" s="131"/>
      <c r="F12" s="131"/>
      <c r="G12" s="131"/>
      <c r="H12" s="132"/>
    </row>
    <row r="13" ht="15.75" customHeight="1">
      <c r="A13" s="59" t="s">
        <v>33</v>
      </c>
      <c r="B13" s="87">
        <v>5.0</v>
      </c>
      <c r="C13" s="15"/>
      <c r="D13" s="15"/>
      <c r="E13" s="15"/>
      <c r="F13" s="15"/>
      <c r="G13" s="15"/>
      <c r="H13" s="18"/>
    </row>
    <row r="14" ht="15.75" customHeight="1">
      <c r="A14" s="108" t="s">
        <v>267</v>
      </c>
      <c r="B14" s="15"/>
      <c r="C14" s="15"/>
      <c r="D14" s="15"/>
      <c r="E14" s="15"/>
      <c r="F14" s="15"/>
      <c r="G14" s="15"/>
      <c r="H14" s="18"/>
    </row>
    <row r="15" ht="15.75" customHeight="1">
      <c r="A15" s="109" t="s">
        <v>330</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331</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SUM(D39:H42)</f>
        <v>58</v>
      </c>
      <c r="I21" s="11"/>
    </row>
    <row r="22" ht="15.75" customHeight="1">
      <c r="G22" s="43" t="s">
        <v>273</v>
      </c>
    </row>
    <row r="23" ht="15.75" customHeight="1">
      <c r="A23" s="55" t="s">
        <v>274</v>
      </c>
      <c r="B23" s="87" t="s">
        <v>142</v>
      </c>
      <c r="C23" s="15"/>
      <c r="D23" s="15"/>
      <c r="E23" s="15"/>
      <c r="F23" s="15"/>
      <c r="G23" s="15"/>
      <c r="H23" s="18"/>
    </row>
    <row r="24" ht="15.75" customHeight="1">
      <c r="A24" s="55" t="s">
        <v>274</v>
      </c>
      <c r="B24" s="87" t="s">
        <v>29</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IFERROR(__xludf.DUMMYFUNCTION("FILTER('Diseño'!D:D,'Diseño'!H:H=$C$5)"),"Monitoreo del Sistema")</f>
        <v>Monitoreo del Sistema</v>
      </c>
      <c r="C28" s="18"/>
      <c r="D28" s="14" t="str">
        <f>IFERROR(__xludf.DUMMYFUNCTION("FILTER('Diseño'!E:E,'Diseño'!H:H=$C$5)"),"Introducción al Monitoreo")</f>
        <v>Introducción al Monitoreo</v>
      </c>
      <c r="E28" s="18"/>
      <c r="F28" s="14" t="str">
        <f>IFERROR(__xludf.DUMMYFUNCTION("FILTER('Diseño'!F:F,'Diseño'!H:H=$C$5)"),"Métricas clave de rendimiento: CPU, memoria, procesos.")</f>
        <v>Métricas clave de rendimiento: CPU, memoria, procesos.</v>
      </c>
      <c r="G28" s="15"/>
      <c r="H28" s="18"/>
    </row>
    <row r="29" ht="15.75" customHeight="1">
      <c r="A29" s="22">
        <v>2.0</v>
      </c>
      <c r="B29" s="14" t="str">
        <f>IFERROR(__xludf.DUMMYFUNCTION("""COMPUTED_VALUE"""),"Monitoreo del Sistema")</f>
        <v>Monitoreo del Sistema</v>
      </c>
      <c r="C29" s="18"/>
      <c r="D29" s="14" t="str">
        <f>IFERROR(__xludf.DUMMYFUNCTION("""COMPUTED_VALUE"""),"Métricas de CPU")</f>
        <v>Métricas de CPU</v>
      </c>
      <c r="E29" s="18"/>
      <c r="F29" s="14" t="str">
        <f>IFERROR(__xludf.DUMMYFUNCTION("""COMPUTED_VALUE"""),"Estructuras internas del kernel: jiffies y kstat para obtener uso de CPU.")</f>
        <v>Estructuras internas del kernel: jiffies y kstat para obtener uso de CPU.</v>
      </c>
      <c r="G29" s="15"/>
      <c r="H29" s="18"/>
    </row>
    <row r="30" ht="15.75" customHeight="1">
      <c r="A30" s="22">
        <v>3.0</v>
      </c>
      <c r="B30" s="14" t="str">
        <f>IFERROR(__xludf.DUMMYFUNCTION("""COMPUTED_VALUE"""),"Monitoreo del Sistema")</f>
        <v>Monitoreo del Sistema</v>
      </c>
      <c r="C30" s="18"/>
      <c r="D30" s="14" t="str">
        <f>IFERROR(__xludf.DUMMYFUNCTION("""COMPUTED_VALUE"""),"Métricas de Memoria")</f>
        <v>Métricas de Memoria</v>
      </c>
      <c r="E30" s="18"/>
      <c r="F30" s="14" t="str">
        <f>IFERROR(__xludf.DUMMYFUNCTION("""COMPUTED_VALUE"""),"Extracción de uso de memoria: MemTotal, MemFree, Buffers y Cached.")</f>
        <v>Extracción de uso de memoria: MemTotal, MemFree, Buffers y Cached.</v>
      </c>
      <c r="G30" s="15"/>
      <c r="H30" s="18"/>
    </row>
    <row r="31" ht="15.75" customHeight="1">
      <c r="A31" s="22">
        <v>4.0</v>
      </c>
      <c r="B31" s="14" t="str">
        <f>IFERROR(__xludf.DUMMYFUNCTION("""COMPUTED_VALUE"""),"Monitoreo del Sistema")</f>
        <v>Monitoreo del Sistema</v>
      </c>
      <c r="C31" s="18"/>
      <c r="D31" s="14" t="str">
        <f>IFERROR(__xludf.DUMMYFUNCTION("""COMPUTED_VALUE"""),"Listado de Procesos")</f>
        <v>Listado de Procesos</v>
      </c>
      <c r="E31" s="18"/>
      <c r="F31" s="14" t="str">
        <f>IFERROR(__xludf.DUMMYFUNCTION("""COMPUTED_VALUE"""),"Iteración de procesos activos con for_each_process y task_struct.")</f>
        <v>Iteración de procesos activos con for_each_process y task_struct.</v>
      </c>
      <c r="G31" s="15"/>
      <c r="H31" s="18"/>
    </row>
    <row r="32" ht="15.75" customHeight="1">
      <c r="A32" s="22">
        <v>5.0</v>
      </c>
      <c r="B32" s="14" t="str">
        <f>IFERROR(__xludf.DUMMYFUNCTION("""COMPUTED_VALUE"""),"Monitoreo del Sistema")</f>
        <v>Monitoreo del Sistema</v>
      </c>
      <c r="C32" s="18"/>
      <c r="D32" s="14" t="str">
        <f>IFERROR(__xludf.DUMMYFUNCTION("""COMPUTED_VALUE"""),"Sistema de Archivos /proc")</f>
        <v>Sistema de Archivos /proc</v>
      </c>
      <c r="E32" s="18"/>
      <c r="F32" s="14" t="str">
        <f>IFERROR(__xludf.DUMMYFUNCTION("""COMPUTED_VALUE"""),"Exportación de métricas del kernel a través del sistema de archivos virtual /proc.")</f>
        <v>Exportación de métricas del kernel a través del sistema de archivos virtual /proc.</v>
      </c>
      <c r="G32" s="15"/>
      <c r="H32" s="18"/>
    </row>
    <row r="33" ht="15.75" customHeight="1">
      <c r="A33" s="22">
        <v>6.0</v>
      </c>
      <c r="B33" s="14" t="str">
        <f>IFERROR(__xludf.DUMMYFUNCTION("""COMPUTED_VALUE"""),"Monitoreo del Sistema")</f>
        <v>Monitoreo del Sistema</v>
      </c>
      <c r="C33" s="18"/>
      <c r="D33" s="14" t="str">
        <f>IFERROR(__xludf.DUMMYFUNCTION("""COMPUTED_VALUE"""),"Comparativa de Interfaces")</f>
        <v>Comparativa de Interfaces</v>
      </c>
      <c r="E33" s="18"/>
      <c r="F33" s="14" t="str">
        <f>IFERROR(__xludf.DUMMYFUNCTION("""COMPUTED_VALUE"""),"Syscalls personalizadas vs. /proc: ventajas, limitaciones y casos de uso.")</f>
        <v>Syscalls personalizadas vs. /proc: ventajas, limitaciones y casos de uso.</v>
      </c>
      <c r="G33" s="15"/>
      <c r="H33" s="18"/>
    </row>
    <row r="34" ht="15.75" customHeight="1">
      <c r="A34" s="22">
        <v>7.0</v>
      </c>
      <c r="B34" s="14"/>
      <c r="C34" s="18"/>
      <c r="D34" s="14"/>
      <c r="E34" s="18"/>
      <c r="F34" s="14"/>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128">
        <v>28.0</v>
      </c>
      <c r="E39" s="15"/>
      <c r="F39" s="15"/>
      <c r="G39" s="15"/>
      <c r="H39" s="18"/>
      <c r="I39" s="22" t="str">
        <f t="shared" ref="I39:I42" si="1">IF(D39&lt;=C39,"Correcto", "Corregir")</f>
        <v>Correcto</v>
      </c>
    </row>
    <row r="40" ht="15.75" customHeight="1">
      <c r="A40" s="22" t="s">
        <v>291</v>
      </c>
      <c r="B40" s="22" t="s">
        <v>290</v>
      </c>
      <c r="C40" s="22">
        <v>6.0</v>
      </c>
      <c r="D40" s="129">
        <v>5.0</v>
      </c>
      <c r="E40" s="15"/>
      <c r="F40" s="15"/>
      <c r="G40" s="15"/>
      <c r="H40" s="18"/>
      <c r="I40" s="22" t="str">
        <f t="shared" si="1"/>
        <v>Correcto</v>
      </c>
    </row>
    <row r="41" ht="15.75" customHeight="1">
      <c r="A41" s="22" t="s">
        <v>292</v>
      </c>
      <c r="B41" s="22" t="s">
        <v>293</v>
      </c>
      <c r="C41" s="22">
        <v>10.0</v>
      </c>
      <c r="D41" s="129">
        <v>0.0</v>
      </c>
      <c r="E41" s="15"/>
      <c r="F41" s="15"/>
      <c r="G41" s="15"/>
      <c r="H41" s="18"/>
      <c r="I41" s="22" t="str">
        <f t="shared" si="1"/>
        <v>Correcto</v>
      </c>
    </row>
    <row r="42" ht="15.75" customHeight="1">
      <c r="A42" s="22" t="s">
        <v>294</v>
      </c>
      <c r="B42" s="22" t="s">
        <v>290</v>
      </c>
      <c r="C42" s="22">
        <v>30.0</v>
      </c>
      <c r="D42" s="129">
        <v>25.0</v>
      </c>
      <c r="E42" s="15"/>
      <c r="F42" s="15"/>
      <c r="G42" s="15"/>
      <c r="H42" s="18"/>
      <c r="I42" s="22" t="str">
        <f t="shared" si="1"/>
        <v>Correcto</v>
      </c>
    </row>
    <row r="43" ht="15.75" customHeight="1"/>
    <row r="44" ht="15.75" customHeight="1">
      <c r="A44" s="103" t="s">
        <v>295</v>
      </c>
      <c r="G44" s="73" t="s">
        <v>33</v>
      </c>
      <c r="H44" s="106">
        <f>B50</f>
        <v>40</v>
      </c>
    </row>
    <row r="45" ht="15.75" customHeight="1">
      <c r="G45" s="43" t="s">
        <v>296</v>
      </c>
    </row>
    <row r="46" ht="15.75" customHeight="1">
      <c r="A46" s="43" t="s">
        <v>297</v>
      </c>
    </row>
    <row r="47">
      <c r="A47" s="55" t="s">
        <v>298</v>
      </c>
      <c r="B47" s="87" t="s">
        <v>142</v>
      </c>
      <c r="C47" s="15"/>
      <c r="D47" s="15"/>
      <c r="E47" s="15"/>
      <c r="F47" s="15"/>
      <c r="G47" s="15"/>
      <c r="H47" s="18"/>
    </row>
    <row r="48" ht="15.75" customHeight="1">
      <c r="A48" s="55" t="s">
        <v>11</v>
      </c>
      <c r="B48" s="87" t="s">
        <v>299</v>
      </c>
      <c r="C48" s="15"/>
      <c r="D48" s="15"/>
      <c r="E48" s="15"/>
      <c r="F48" s="15"/>
      <c r="G48" s="15"/>
      <c r="H48" s="18"/>
    </row>
    <row r="49" ht="15.75" customHeight="1">
      <c r="A49" s="55" t="s">
        <v>259</v>
      </c>
      <c r="B49" s="117">
        <v>0.0</v>
      </c>
      <c r="C49" s="15"/>
      <c r="D49" s="15"/>
      <c r="E49" s="15"/>
      <c r="F49" s="15"/>
      <c r="G49" s="15"/>
      <c r="H49" s="18"/>
    </row>
    <row r="50" ht="15.75" customHeight="1">
      <c r="A50" s="55" t="s">
        <v>33</v>
      </c>
      <c r="B50" s="87">
        <v>40.0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09" t="s">
        <v>335</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14"/>
      <c r="C58" s="15"/>
      <c r="D58" s="15"/>
      <c r="E58" s="15"/>
      <c r="F58" s="15"/>
      <c r="G58" s="15"/>
      <c r="H58" s="18"/>
    </row>
    <row r="59" ht="15.75" customHeight="1">
      <c r="A59" s="55" t="s">
        <v>11</v>
      </c>
      <c r="B59" s="14"/>
      <c r="C59" s="15"/>
      <c r="D59" s="15"/>
      <c r="E59" s="15"/>
      <c r="F59" s="15"/>
      <c r="G59" s="15"/>
      <c r="H59" s="18"/>
    </row>
    <row r="60" ht="15.75" customHeight="1">
      <c r="A60" s="55" t="s">
        <v>259</v>
      </c>
      <c r="B60" s="117"/>
      <c r="C60" s="15"/>
      <c r="D60" s="15"/>
      <c r="E60" s="15"/>
      <c r="F60" s="15"/>
      <c r="G60" s="15"/>
      <c r="H60" s="18"/>
    </row>
    <row r="61" ht="15.75" customHeight="1">
      <c r="A61" s="55" t="s">
        <v>33</v>
      </c>
      <c r="B61" s="117"/>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126"/>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336</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3:H13"/>
    <mergeCell ref="A14:H14"/>
    <mergeCell ref="A15:H16"/>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9.0</v>
      </c>
      <c r="D5" s="15"/>
      <c r="E5" s="15"/>
      <c r="F5" s="15"/>
      <c r="G5" s="18"/>
    </row>
    <row r="6" ht="15.75" customHeight="1">
      <c r="B6" s="96" t="s">
        <v>21</v>
      </c>
      <c r="C6" s="14">
        <f>H10+H21+H44+H68</f>
        <v>110</v>
      </c>
      <c r="D6" s="15"/>
      <c r="E6" s="15"/>
      <c r="F6" s="15"/>
      <c r="G6" s="18"/>
      <c r="I6" s="11"/>
    </row>
    <row r="7" ht="15.75" customHeight="1">
      <c r="B7" s="96" t="s">
        <v>259</v>
      </c>
      <c r="C7" s="14">
        <f>B49+B60</f>
        <v>0</v>
      </c>
      <c r="D7" s="15"/>
      <c r="E7" s="15"/>
      <c r="F7" s="15"/>
      <c r="G7" s="18"/>
    </row>
    <row r="8" ht="15.75" customHeight="1">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5</v>
      </c>
    </row>
    <row r="11" ht="15.75" customHeight="1">
      <c r="G11" s="43" t="s">
        <v>264</v>
      </c>
    </row>
    <row r="12" ht="15.75" customHeight="1">
      <c r="A12" s="55" t="s">
        <v>265</v>
      </c>
      <c r="B12" s="87" t="s">
        <v>332</v>
      </c>
      <c r="C12" s="15"/>
      <c r="D12" s="15"/>
      <c r="E12" s="15"/>
      <c r="F12" s="15"/>
      <c r="G12" s="15"/>
      <c r="H12" s="18"/>
    </row>
    <row r="13" ht="15.75" customHeight="1">
      <c r="A13" s="59" t="s">
        <v>33</v>
      </c>
      <c r="B13" s="87">
        <v>5.0</v>
      </c>
      <c r="C13" s="15"/>
      <c r="D13" s="15"/>
      <c r="E13" s="15"/>
      <c r="F13" s="15"/>
      <c r="G13" s="15"/>
      <c r="H13" s="18"/>
    </row>
    <row r="14" ht="15.75" customHeight="1">
      <c r="A14" s="108" t="s">
        <v>267</v>
      </c>
      <c r="B14" s="15"/>
      <c r="C14" s="15"/>
      <c r="D14" s="15"/>
      <c r="E14" s="15"/>
      <c r="F14" s="15"/>
      <c r="G14" s="15"/>
      <c r="H14" s="18"/>
    </row>
    <row r="15" ht="15.75" customHeight="1">
      <c r="A15" s="109" t="s">
        <v>333</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334</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SUM(D39:H42)</f>
        <v>55</v>
      </c>
      <c r="I21" s="11"/>
    </row>
    <row r="22" ht="15.75" customHeight="1">
      <c r="G22" s="43" t="s">
        <v>273</v>
      </c>
    </row>
    <row r="23" ht="15.75" customHeight="1">
      <c r="A23" s="55" t="s">
        <v>274</v>
      </c>
      <c r="B23" s="87" t="s">
        <v>158</v>
      </c>
      <c r="C23" s="15"/>
      <c r="D23" s="15"/>
      <c r="E23" s="15"/>
      <c r="F23" s="15"/>
      <c r="G23" s="15"/>
      <c r="H23" s="18"/>
    </row>
    <row r="24" ht="15.75" customHeight="1">
      <c r="A24" s="55" t="s">
        <v>274</v>
      </c>
      <c r="B24" s="87" t="s">
        <v>142</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IFERROR(__xludf.DUMMYFUNCTION("FILTER('Diseño'!D:D,'Diseño'!H:H=$C$5)"),"Comunicación Kernel-Usuario")</f>
        <v>Comunicación Kernel-Usuario</v>
      </c>
      <c r="C28" s="18"/>
      <c r="D28" s="14" t="str">
        <f>IFERROR(__xludf.DUMMYFUNCTION("FILTER('Diseño'!E:E,'Diseño'!H:H=$C$5)"),"Sistema de Archivos /proc")</f>
        <v>Sistema de Archivos /proc</v>
      </c>
      <c r="E28" s="18"/>
      <c r="F28" s="14" t="str">
        <f>IFERROR(__xludf.DUMMYFUNCTION("FILTER('Diseño'!F:F,'Diseño'!H:H=$C$5)"),"Fundamentos, estructura interna y navegación del sistema /proc.")</f>
        <v>Fundamentos, estructura interna y navegación del sistema /proc.</v>
      </c>
      <c r="G28" s="15"/>
      <c r="H28" s="18"/>
    </row>
    <row r="29" ht="15.75" customHeight="1">
      <c r="A29" s="22">
        <v>2.0</v>
      </c>
      <c r="B29" s="14" t="str">
        <f>IFERROR(__xludf.DUMMYFUNCTION("""COMPUTED_VALUE"""),"Comunicación Kernel-Usuario")</f>
        <v>Comunicación Kernel-Usuario</v>
      </c>
      <c r="C29" s="18"/>
      <c r="D29" s="14" t="str">
        <f>IFERROR(__xludf.DUMMYFUNCTION("""COMPUTED_VALUE"""),"Entradas /proc Personalizadas")</f>
        <v>Entradas /proc Personalizadas</v>
      </c>
      <c r="E29" s="18"/>
      <c r="F29" s="14" t="str">
        <f>IFERROR(__xludf.DUMMYFUNCTION("""COMPUTED_VALUE"""),"Creación de entradas /proc con la seq_file API.")</f>
        <v>Creación de entradas /proc con la seq_file API.</v>
      </c>
      <c r="G29" s="15"/>
      <c r="H29" s="18"/>
    </row>
    <row r="30" ht="15.75" customHeight="1">
      <c r="A30" s="22">
        <v>3.0</v>
      </c>
      <c r="B30" s="14" t="str">
        <f>IFERROR(__xludf.DUMMYFUNCTION("""COMPUTED_VALUE"""),"Comunicación Kernel-Usuario")</f>
        <v>Comunicación Kernel-Usuario</v>
      </c>
      <c r="C30" s="18"/>
      <c r="D30" s="14" t="str">
        <f>IFERROR(__xludf.DUMMYFUNCTION("""COMPUTED_VALUE"""),"Comunicación Bidireccional")</f>
        <v>Comunicación Bidireccional</v>
      </c>
      <c r="E30" s="18"/>
      <c r="F30" s="14" t="str">
        <f>IFERROR(__xludf.DUMMYFUNCTION("""COMPUTED_VALUE"""),"Lectura y escritura en /proc para comunicación bidireccional con el kernel.")</f>
        <v>Lectura y escritura en /proc para comunicación bidireccional con el kernel.</v>
      </c>
      <c r="G30" s="15"/>
      <c r="H30" s="18"/>
    </row>
    <row r="31" ht="15.75" customHeight="1">
      <c r="A31" s="22">
        <v>4.0</v>
      </c>
      <c r="B31" s="14" t="str">
        <f>IFERROR(__xludf.DUMMYFUNCTION("""COMPUTED_VALUE"""),"Comunicación Kernel-Usuario")</f>
        <v>Comunicación Kernel-Usuario</v>
      </c>
      <c r="C31" s="18"/>
      <c r="D31" s="14" t="str">
        <f>IFERROR(__xludf.DUMMYFUNCTION("""COMPUTED_VALUE"""),"Netlink Sockets")</f>
        <v>Netlink Sockets</v>
      </c>
      <c r="E31" s="18"/>
      <c r="F31" s="14" t="str">
        <f>IFERROR(__xludf.DUMMYFUNCTION("""COMPUTED_VALUE"""),"Comunicación asíncrona entre el kernel y el espacio de usuario con Netlink.")</f>
        <v>Comunicación asíncrona entre el kernel y el espacio de usuario con Netlink.</v>
      </c>
      <c r="G31" s="15"/>
      <c r="H31" s="18"/>
    </row>
    <row r="32" ht="15.75" customHeight="1">
      <c r="A32" s="22">
        <v>5.0</v>
      </c>
      <c r="B32" s="14" t="str">
        <f>IFERROR(__xludf.DUMMYFUNCTION("""COMPUTED_VALUE"""),"Comunicación Kernel-Usuario")</f>
        <v>Comunicación Kernel-Usuario</v>
      </c>
      <c r="C32" s="18"/>
      <c r="D32" s="14" t="str">
        <f>IFERROR(__xludf.DUMMYFUNCTION("""COMPUTED_VALUE"""),"Diseño de Aplicaciones")</f>
        <v>Diseño de Aplicaciones</v>
      </c>
      <c r="E32" s="18"/>
      <c r="F32" s="14" t="str">
        <f>IFERROR(__xludf.DUMMYFUNCTION("""COMPUTED_VALUE"""),"Diseño de un daemon de usuario que consuma métricas del kernel en tiempo real.")</f>
        <v>Diseño de un daemon de usuario que consuma métricas del kernel en tiempo real.</v>
      </c>
      <c r="G32" s="15"/>
      <c r="H32" s="18"/>
    </row>
    <row r="33" ht="15.75" customHeight="1">
      <c r="A33" s="22">
        <v>6.0</v>
      </c>
      <c r="B33" s="14" t="str">
        <f>IFERROR(__xludf.DUMMYFUNCTION("""COMPUTED_VALUE"""),"Comunicación Kernel-Usuario")</f>
        <v>Comunicación Kernel-Usuario</v>
      </c>
      <c r="C33" s="18"/>
      <c r="D33" s="14" t="str">
        <f>IFERROR(__xludf.DUMMYFUNCTION("""COMPUTED_VALUE"""),"Integración de Fuentes")</f>
        <v>Integración de Fuentes</v>
      </c>
      <c r="E33" s="18"/>
      <c r="F33" s="14" t="str">
        <f>IFERROR(__xludf.DUMMYFUNCTION("""COMPUTED_VALUE"""),"Integración de múltiples fuentes de datos del kernel en una aplicación de usuario.")</f>
        <v>Integración de múltiples fuentes de datos del kernel en una aplicación de usuario.</v>
      </c>
      <c r="G33" s="15"/>
      <c r="H33" s="18"/>
    </row>
    <row r="34" ht="15.75" customHeight="1">
      <c r="A34" s="22">
        <v>7.0</v>
      </c>
      <c r="B34" s="14"/>
      <c r="C34" s="18"/>
      <c r="D34" s="14"/>
      <c r="E34" s="18"/>
      <c r="F34" s="14"/>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128">
        <v>25.0</v>
      </c>
      <c r="E39" s="15"/>
      <c r="F39" s="15"/>
      <c r="G39" s="15"/>
      <c r="H39" s="18"/>
      <c r="I39" s="22" t="str">
        <f t="shared" ref="I39:I42" si="1">IF(D39&lt;=C39,"Correcto", "Corregir")</f>
        <v>Correcto</v>
      </c>
    </row>
    <row r="40" ht="15.75" customHeight="1">
      <c r="A40" s="22" t="s">
        <v>291</v>
      </c>
      <c r="B40" s="22" t="s">
        <v>290</v>
      </c>
      <c r="C40" s="22">
        <v>6.0</v>
      </c>
      <c r="D40" s="129">
        <v>5.0</v>
      </c>
      <c r="E40" s="15"/>
      <c r="F40" s="15"/>
      <c r="G40" s="15"/>
      <c r="H40" s="18"/>
      <c r="I40" s="22" t="str">
        <f t="shared" si="1"/>
        <v>Correcto</v>
      </c>
    </row>
    <row r="41" ht="15.75" customHeight="1">
      <c r="A41" s="22" t="s">
        <v>292</v>
      </c>
      <c r="B41" s="22" t="s">
        <v>293</v>
      </c>
      <c r="C41" s="22">
        <v>10.0</v>
      </c>
      <c r="D41" s="129">
        <v>0.0</v>
      </c>
      <c r="E41" s="15"/>
      <c r="F41" s="15"/>
      <c r="G41" s="15"/>
      <c r="H41" s="18"/>
      <c r="I41" s="22" t="str">
        <f t="shared" si="1"/>
        <v>Correcto</v>
      </c>
    </row>
    <row r="42" ht="15.75" customHeight="1">
      <c r="A42" s="22" t="s">
        <v>294</v>
      </c>
      <c r="B42" s="22" t="s">
        <v>290</v>
      </c>
      <c r="C42" s="22">
        <v>30.0</v>
      </c>
      <c r="D42" s="129">
        <v>25.0</v>
      </c>
      <c r="E42" s="15"/>
      <c r="F42" s="15"/>
      <c r="G42" s="15"/>
      <c r="H42" s="18"/>
      <c r="I42" s="22" t="str">
        <f t="shared" si="1"/>
        <v>Correcto</v>
      </c>
    </row>
    <row r="43" ht="15.75" customHeight="1"/>
    <row r="44" ht="15.75" customHeight="1">
      <c r="A44" s="103" t="s">
        <v>295</v>
      </c>
      <c r="G44" s="73" t="s">
        <v>33</v>
      </c>
      <c r="H44" s="106">
        <f>B50</f>
        <v>40</v>
      </c>
    </row>
    <row r="45" ht="15.75" customHeight="1">
      <c r="G45" s="43" t="s">
        <v>296</v>
      </c>
    </row>
    <row r="46" ht="15.75" customHeight="1">
      <c r="A46" s="43" t="s">
        <v>297</v>
      </c>
    </row>
    <row r="47">
      <c r="A47" s="55" t="s">
        <v>298</v>
      </c>
      <c r="B47" s="87" t="s">
        <v>158</v>
      </c>
      <c r="C47" s="15"/>
      <c r="D47" s="15"/>
      <c r="E47" s="15"/>
      <c r="F47" s="15"/>
      <c r="G47" s="15"/>
      <c r="H47" s="18"/>
    </row>
    <row r="48" ht="15.75" customHeight="1">
      <c r="A48" s="55" t="s">
        <v>11</v>
      </c>
      <c r="B48" s="87" t="s">
        <v>299</v>
      </c>
      <c r="C48" s="15"/>
      <c r="D48" s="15"/>
      <c r="E48" s="15"/>
      <c r="F48" s="15"/>
      <c r="G48" s="15"/>
      <c r="H48" s="18"/>
    </row>
    <row r="49" ht="15.75" customHeight="1">
      <c r="A49" s="55" t="s">
        <v>259</v>
      </c>
      <c r="B49" s="117">
        <v>0.0</v>
      </c>
      <c r="C49" s="15"/>
      <c r="D49" s="15"/>
      <c r="E49" s="15"/>
      <c r="F49" s="15"/>
      <c r="G49" s="15"/>
      <c r="H49" s="18"/>
    </row>
    <row r="50" ht="15.75" customHeight="1">
      <c r="A50" s="55" t="s">
        <v>33</v>
      </c>
      <c r="B50" s="87">
        <v>40.0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09" t="s">
        <v>337</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14"/>
      <c r="C58" s="15"/>
      <c r="D58" s="15"/>
      <c r="E58" s="15"/>
      <c r="F58" s="15"/>
      <c r="G58" s="15"/>
      <c r="H58" s="18"/>
    </row>
    <row r="59" ht="15.75" customHeight="1">
      <c r="A59" s="55" t="s">
        <v>11</v>
      </c>
      <c r="B59" s="14"/>
      <c r="C59" s="15"/>
      <c r="D59" s="15"/>
      <c r="E59" s="15"/>
      <c r="F59" s="15"/>
      <c r="G59" s="15"/>
      <c r="H59" s="18"/>
    </row>
    <row r="60" ht="15.75" customHeight="1">
      <c r="A60" s="55" t="s">
        <v>259</v>
      </c>
      <c r="B60" s="117"/>
      <c r="C60" s="15"/>
      <c r="D60" s="15"/>
      <c r="E60" s="15"/>
      <c r="F60" s="15"/>
      <c r="G60" s="15"/>
      <c r="H60" s="18"/>
    </row>
    <row r="61" ht="15.75" customHeight="1">
      <c r="A61" s="55" t="s">
        <v>33</v>
      </c>
      <c r="B61" s="117"/>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126"/>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338</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10.0</v>
      </c>
      <c r="D5" s="15"/>
      <c r="E5" s="15"/>
      <c r="F5" s="15"/>
      <c r="G5" s="18"/>
    </row>
    <row r="6" ht="15.75" customHeight="1">
      <c r="B6" s="96" t="s">
        <v>21</v>
      </c>
      <c r="C6" s="14">
        <f>H10+H21+H44+H68</f>
        <v>110</v>
      </c>
      <c r="D6" s="15"/>
      <c r="E6" s="15"/>
      <c r="F6" s="15"/>
      <c r="G6" s="18"/>
      <c r="I6" s="11"/>
    </row>
    <row r="7" ht="15.75" customHeight="1">
      <c r="B7" s="96" t="s">
        <v>259</v>
      </c>
      <c r="C7" s="14">
        <f>B49+B60</f>
        <v>0</v>
      </c>
      <c r="D7" s="15"/>
      <c r="E7" s="15"/>
      <c r="F7" s="15"/>
      <c r="G7" s="18"/>
    </row>
    <row r="8" ht="15.75" customHeight="1">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5</v>
      </c>
    </row>
    <row r="11" ht="15.75" customHeight="1">
      <c r="G11" s="43" t="s">
        <v>264</v>
      </c>
    </row>
    <row r="12" ht="15.75" customHeight="1">
      <c r="A12" s="55" t="s">
        <v>265</v>
      </c>
      <c r="B12" s="87" t="s">
        <v>339</v>
      </c>
      <c r="C12" s="15"/>
      <c r="D12" s="15"/>
      <c r="E12" s="15"/>
      <c r="F12" s="15"/>
      <c r="G12" s="15"/>
      <c r="H12" s="18"/>
    </row>
    <row r="13" ht="15.75" customHeight="1">
      <c r="A13" s="59" t="s">
        <v>33</v>
      </c>
      <c r="B13" s="87">
        <v>5.0</v>
      </c>
      <c r="C13" s="15"/>
      <c r="D13" s="15"/>
      <c r="E13" s="15"/>
      <c r="F13" s="15"/>
      <c r="G13" s="15"/>
      <c r="H13" s="18"/>
    </row>
    <row r="14" ht="15.75" customHeight="1">
      <c r="A14" s="108" t="s">
        <v>267</v>
      </c>
      <c r="B14" s="15"/>
      <c r="C14" s="15"/>
      <c r="D14" s="15"/>
      <c r="E14" s="15"/>
      <c r="F14" s="15"/>
      <c r="G14" s="15"/>
      <c r="H14" s="18"/>
    </row>
    <row r="15" ht="15.75" customHeight="1">
      <c r="A15" s="109" t="s">
        <v>340</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341</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SUM(D39:H42)</f>
        <v>55</v>
      </c>
      <c r="I21" s="11"/>
    </row>
    <row r="22" ht="15.75" customHeight="1">
      <c r="G22" s="43" t="s">
        <v>273</v>
      </c>
    </row>
    <row r="23" ht="15.75" customHeight="1">
      <c r="A23" s="55" t="s">
        <v>274</v>
      </c>
      <c r="B23" s="87" t="s">
        <v>51</v>
      </c>
      <c r="C23" s="15"/>
      <c r="D23" s="15"/>
      <c r="E23" s="15"/>
      <c r="F23" s="15"/>
      <c r="G23" s="15"/>
      <c r="H23" s="18"/>
    </row>
    <row r="24" ht="15.75" customHeight="1">
      <c r="A24" s="55" t="s">
        <v>274</v>
      </c>
      <c r="B24" s="87" t="s">
        <v>142</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IFERROR(__xludf.DUMMYFUNCTION("FILTER('Diseño'!D:D,'Diseño'!H:H=$C$5)"),"Seguridad en el Kernel y Syscalls")</f>
        <v>Seguridad en el Kernel y Syscalls</v>
      </c>
      <c r="C28" s="18"/>
      <c r="D28" s="14" t="str">
        <f>IFERROR(__xludf.DUMMYFUNCTION("FILTER('Diseño'!E:E,'Diseño'!H:H=$C$5)"),"Superficie de Ataque")</f>
        <v>Superficie de Ataque</v>
      </c>
      <c r="E28" s="18"/>
      <c r="F28" s="14" t="str">
        <f>IFERROR(__xludf.DUMMYFUNCTION("FILTER('Diseño'!F:F,'Diseño'!H:H=$C$5)"),"Vectores comunes y vulnerabilidades históricas del kernel (CVEs relevantes).")</f>
        <v>Vectores comunes y vulnerabilidades históricas del kernel (CVEs relevantes).</v>
      </c>
      <c r="G28" s="15"/>
      <c r="H28" s="18"/>
    </row>
    <row r="29" ht="15.75" customHeight="1">
      <c r="A29" s="22">
        <v>2.0</v>
      </c>
      <c r="B29" s="14" t="str">
        <f>IFERROR(__xludf.DUMMYFUNCTION("""COMPUTED_VALUE"""),"Seguridad en el Kernel y Syscalls")</f>
        <v>Seguridad en el Kernel y Syscalls</v>
      </c>
      <c r="C29" s="18"/>
      <c r="D29" s="14" t="str">
        <f>IFERROR(__xludf.DUMMYFUNCTION("""COMPUTED_VALUE"""),"Buffer Overflow en Kernel")</f>
        <v>Buffer Overflow en Kernel</v>
      </c>
      <c r="E29" s="18"/>
      <c r="F29" s="14" t="str">
        <f>IFERROR(__xludf.DUMMYFUNCTION("""COMPUTED_VALUE"""),"Análisis, demostración controlada y técnicas de mitigación de buffer overflows en módulos.")</f>
        <v>Análisis, demostración controlada y técnicas de mitigación de buffer overflows en módulos.</v>
      </c>
      <c r="G29" s="15"/>
      <c r="H29" s="18"/>
    </row>
    <row r="30" ht="15.75" customHeight="1">
      <c r="A30" s="22">
        <v>3.0</v>
      </c>
      <c r="B30" s="14" t="str">
        <f>IFERROR(__xludf.DUMMYFUNCTION("""COMPUTED_VALUE"""),"Seguridad en el Kernel y Syscalls")</f>
        <v>Seguridad en el Kernel y Syscalls</v>
      </c>
      <c r="C30" s="18"/>
      <c r="D30" s="14" t="str">
        <f>IFERROR(__xludf.DUMMYFUNCTION("""COMPUTED_VALUE"""),"Escalada de Privilegios")</f>
        <v>Escalada de Privilegios</v>
      </c>
      <c r="E30" s="18"/>
      <c r="F30" s="14" t="str">
        <f>IFERROR(__xludf.DUMMYFUNCTION("""COMPUTED_VALUE"""),"Explotación de privilege escalation desde espacio de usuario y contramedidas en el kernel.")</f>
        <v>Explotación de privilege escalation desde espacio de usuario y contramedidas en el kernel.</v>
      </c>
      <c r="G30" s="15"/>
      <c r="H30" s="18"/>
    </row>
    <row r="31" ht="15.75" customHeight="1">
      <c r="A31" s="22">
        <v>4.0</v>
      </c>
      <c r="B31" s="14" t="str">
        <f>IFERROR(__xludf.DUMMYFUNCTION("""COMPUTED_VALUE"""),"Seguridad en el Kernel y Syscalls")</f>
        <v>Seguridad en el Kernel y Syscalls</v>
      </c>
      <c r="C31" s="18"/>
      <c r="D31" s="14" t="str">
        <f>IFERROR(__xludf.DUMMYFUNCTION("""COMPUTED_VALUE"""),"Desarrollo Seguro de Syscalls")</f>
        <v>Desarrollo Seguro de Syscalls</v>
      </c>
      <c r="E31" s="18"/>
      <c r="F31" s="14" t="str">
        <f>IFERROR(__xludf.DUMMYFUNCTION("""COMPUTED_VALUE"""),"Uso obligatorio de copy_from_user / copy_to_user y validación estricta de parámetros.")</f>
        <v>Uso obligatorio de copy_from_user / copy_to_user y validación estricta de parámetros.</v>
      </c>
      <c r="G31" s="15"/>
      <c r="H31" s="18"/>
    </row>
    <row r="32" ht="15.75" customHeight="1">
      <c r="A32" s="22">
        <v>5.0</v>
      </c>
      <c r="B32" s="14" t="str">
        <f>IFERROR(__xludf.DUMMYFUNCTION("""COMPUTED_VALUE"""),"Seguridad en el Kernel y Syscalls")</f>
        <v>Seguridad en el Kernel y Syscalls</v>
      </c>
      <c r="C32" s="18"/>
      <c r="D32" s="14" t="str">
        <f>IFERROR(__xludf.DUMMYFUNCTION("""COMPUTED_VALUE"""),"Mecanismos de Protección del SO")</f>
        <v>Mecanismos de Protección del SO</v>
      </c>
      <c r="E32" s="18"/>
      <c r="F32" s="14" t="str">
        <f>IFERROR(__xludf.DUMMYFUNCTION("""COMPUTED_VALUE"""),"SELinux, AppArmor, cgroups y namespaces: configuración y casos de uso.")</f>
        <v>SELinux, AppArmor, cgroups y namespaces: configuración y casos de uso.</v>
      </c>
      <c r="G32" s="15"/>
      <c r="H32" s="18"/>
    </row>
    <row r="33" ht="15.75" customHeight="1">
      <c r="A33" s="22">
        <v>6.0</v>
      </c>
      <c r="B33" s="14" t="str">
        <f>IFERROR(__xludf.DUMMYFUNCTION("""COMPUTED_VALUE"""),"Seguridad en el Kernel y Syscalls")</f>
        <v>Seguridad en el Kernel y Syscalls</v>
      </c>
      <c r="C33" s="18"/>
      <c r="D33" s="14" t="str">
        <f>IFERROR(__xludf.DUMMYFUNCTION("""COMPUTED_VALUE"""),"Auditoría del Kernel")</f>
        <v>Auditoría del Kernel</v>
      </c>
      <c r="E33" s="18"/>
      <c r="F33" s="14" t="str">
        <f>IFERROR(__xludf.DUMMYFUNCTION("""COMPUTED_VALUE"""),"Detección de anomalías y trazado de syscalls con auditd y eBPF.")</f>
        <v>Detección de anomalías y trazado de syscalls con auditd y eBPF.</v>
      </c>
      <c r="G33" s="15"/>
      <c r="H33" s="18"/>
    </row>
    <row r="34" ht="15.75" customHeight="1">
      <c r="A34" s="22">
        <v>7.0</v>
      </c>
      <c r="B34" s="14"/>
      <c r="C34" s="18"/>
      <c r="D34" s="14"/>
      <c r="E34" s="18"/>
      <c r="F34" s="14"/>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128">
        <v>25.0</v>
      </c>
      <c r="E39" s="15"/>
      <c r="F39" s="15"/>
      <c r="G39" s="15"/>
      <c r="H39" s="18"/>
      <c r="I39" s="22" t="str">
        <f t="shared" ref="I39:I42" si="1">IF(D39&lt;=C39,"Correcto", "Corregir")</f>
        <v>Correcto</v>
      </c>
    </row>
    <row r="40" ht="15.75" customHeight="1">
      <c r="A40" s="22" t="s">
        <v>291</v>
      </c>
      <c r="B40" s="22" t="s">
        <v>290</v>
      </c>
      <c r="C40" s="22">
        <v>6.0</v>
      </c>
      <c r="D40" s="129">
        <v>5.0</v>
      </c>
      <c r="E40" s="15"/>
      <c r="F40" s="15"/>
      <c r="G40" s="15"/>
      <c r="H40" s="18"/>
      <c r="I40" s="22" t="str">
        <f t="shared" si="1"/>
        <v>Correcto</v>
      </c>
    </row>
    <row r="41" ht="15.75" customHeight="1">
      <c r="A41" s="22" t="s">
        <v>292</v>
      </c>
      <c r="B41" s="22" t="s">
        <v>293</v>
      </c>
      <c r="C41" s="22">
        <v>10.0</v>
      </c>
      <c r="D41" s="129">
        <v>0.0</v>
      </c>
      <c r="E41" s="15"/>
      <c r="F41" s="15"/>
      <c r="G41" s="15"/>
      <c r="H41" s="18"/>
      <c r="I41" s="22" t="str">
        <f t="shared" si="1"/>
        <v>Correcto</v>
      </c>
    </row>
    <row r="42" ht="15.75" customHeight="1">
      <c r="A42" s="22" t="s">
        <v>294</v>
      </c>
      <c r="B42" s="22" t="s">
        <v>290</v>
      </c>
      <c r="C42" s="22">
        <v>30.0</v>
      </c>
      <c r="D42" s="129">
        <v>25.0</v>
      </c>
      <c r="E42" s="15"/>
      <c r="F42" s="15"/>
      <c r="G42" s="15"/>
      <c r="H42" s="18"/>
      <c r="I42" s="22" t="str">
        <f t="shared" si="1"/>
        <v>Correcto</v>
      </c>
    </row>
    <row r="43" ht="15.75" customHeight="1"/>
    <row r="44" ht="15.75" customHeight="1">
      <c r="A44" s="103" t="s">
        <v>295</v>
      </c>
      <c r="G44" s="73" t="s">
        <v>33</v>
      </c>
      <c r="H44" s="106">
        <f>B50</f>
        <v>40</v>
      </c>
    </row>
    <row r="45" ht="15.75" customHeight="1">
      <c r="G45" s="43" t="s">
        <v>296</v>
      </c>
    </row>
    <row r="46" ht="15.75" customHeight="1">
      <c r="A46" s="43" t="s">
        <v>297</v>
      </c>
    </row>
    <row r="47">
      <c r="A47" s="55" t="s">
        <v>298</v>
      </c>
      <c r="B47" s="87" t="s">
        <v>51</v>
      </c>
      <c r="C47" s="15"/>
      <c r="D47" s="15"/>
      <c r="E47" s="15"/>
      <c r="F47" s="15"/>
      <c r="G47" s="15"/>
      <c r="H47" s="18"/>
    </row>
    <row r="48" ht="15.75" customHeight="1">
      <c r="A48" s="55" t="s">
        <v>11</v>
      </c>
      <c r="B48" s="87" t="s">
        <v>299</v>
      </c>
      <c r="C48" s="15"/>
      <c r="D48" s="15"/>
      <c r="E48" s="15"/>
      <c r="F48" s="15"/>
      <c r="G48" s="15"/>
      <c r="H48" s="18"/>
    </row>
    <row r="49" ht="15.75" customHeight="1">
      <c r="A49" s="55" t="s">
        <v>259</v>
      </c>
      <c r="B49" s="117">
        <v>0.0</v>
      </c>
      <c r="C49" s="15"/>
      <c r="D49" s="15"/>
      <c r="E49" s="15"/>
      <c r="F49" s="15"/>
      <c r="G49" s="15"/>
      <c r="H49" s="18"/>
    </row>
    <row r="50" ht="15.75" customHeight="1">
      <c r="A50" s="55" t="s">
        <v>33</v>
      </c>
      <c r="B50" s="87">
        <v>40.0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09" t="s">
        <v>345</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14"/>
      <c r="C58" s="15"/>
      <c r="D58" s="15"/>
      <c r="E58" s="15"/>
      <c r="F58" s="15"/>
      <c r="G58" s="15"/>
      <c r="H58" s="18"/>
    </row>
    <row r="59" ht="15.75" customHeight="1">
      <c r="A59" s="55" t="s">
        <v>11</v>
      </c>
      <c r="B59" s="14"/>
      <c r="C59" s="15"/>
      <c r="D59" s="15"/>
      <c r="E59" s="15"/>
      <c r="F59" s="15"/>
      <c r="G59" s="15"/>
      <c r="H59" s="18"/>
    </row>
    <row r="60" ht="15.75" customHeight="1">
      <c r="A60" s="55" t="s">
        <v>259</v>
      </c>
      <c r="B60" s="117"/>
      <c r="C60" s="15"/>
      <c r="D60" s="15"/>
      <c r="E60" s="15"/>
      <c r="F60" s="15"/>
      <c r="G60" s="15"/>
      <c r="H60" s="18"/>
    </row>
    <row r="61" ht="15.75" customHeight="1">
      <c r="A61" s="55" t="s">
        <v>33</v>
      </c>
      <c r="B61" s="117"/>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126"/>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309</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 t="s">
        <v>255</v>
      </c>
    </row>
    <row r="3" ht="15.75" customHeight="1"/>
    <row r="4" ht="15.75" customHeight="1">
      <c r="B4" s="9" t="s">
        <v>2</v>
      </c>
      <c r="C4" s="95" t="str">
        <f>'Diseño'!C4</f>
        <v>285 - Sistemas Operativos 2</v>
      </c>
      <c r="D4" s="15"/>
      <c r="E4" s="15"/>
      <c r="F4" s="15"/>
      <c r="G4" s="18"/>
    </row>
    <row r="5" ht="15.75" customHeight="1">
      <c r="B5" s="22" t="s">
        <v>17</v>
      </c>
      <c r="C5" s="14">
        <v>11.0</v>
      </c>
      <c r="D5" s="15"/>
      <c r="E5" s="15"/>
      <c r="F5" s="15"/>
      <c r="G5" s="18"/>
    </row>
    <row r="6" ht="15.75" customHeight="1">
      <c r="B6" s="96" t="s">
        <v>21</v>
      </c>
      <c r="C6" s="14">
        <f>H10+H21+H44+H68</f>
        <v>110</v>
      </c>
      <c r="D6" s="15"/>
      <c r="E6" s="15"/>
      <c r="F6" s="15"/>
      <c r="G6" s="18"/>
      <c r="I6" s="11"/>
    </row>
    <row r="7" ht="15.75" customHeight="1">
      <c r="B7" s="96" t="s">
        <v>259</v>
      </c>
      <c r="C7" s="14">
        <f>B49+B60</f>
        <v>0</v>
      </c>
      <c r="D7" s="15"/>
      <c r="E7" s="15"/>
      <c r="F7" s="15"/>
      <c r="G7" s="18"/>
    </row>
    <row r="8" ht="15.75" customHeight="1">
      <c r="B8" s="96" t="s">
        <v>261</v>
      </c>
      <c r="C8" s="101" t="str">
        <f>IF(H44&lt;=0, "❌ ERROR: La Actividad 1 debe tener un tiempo mayor a 0.", IF(H21&gt;60, "❌ ERROR: El 'Área de Conocimiento' no puede exceder los 60 min.", IF((H10+H21+H44)&lt;100, "❌ ERROR: El tiempo total debe ser de al menos 100 min.", "✅ VALIDACIÓN CORRECTA")))</f>
        <v>✅ VALIDACIÓN CORRECTA</v>
      </c>
      <c r="D8" s="15"/>
      <c r="E8" s="15"/>
      <c r="F8" s="15"/>
      <c r="G8" s="18"/>
      <c r="I8" s="11"/>
      <c r="J8" s="11"/>
      <c r="K8" s="11"/>
    </row>
    <row r="9" ht="15.75" customHeight="1"/>
    <row r="10" ht="15.75" customHeight="1">
      <c r="A10" s="103" t="s">
        <v>263</v>
      </c>
      <c r="G10" s="73" t="s">
        <v>33</v>
      </c>
      <c r="H10" s="106">
        <f>B13</f>
        <v>5</v>
      </c>
    </row>
    <row r="11" ht="15.75" customHeight="1">
      <c r="G11" s="43" t="s">
        <v>264</v>
      </c>
    </row>
    <row r="12" ht="15.75" customHeight="1">
      <c r="A12" s="55" t="s">
        <v>265</v>
      </c>
      <c r="B12" s="87" t="s">
        <v>342</v>
      </c>
      <c r="C12" s="15"/>
      <c r="D12" s="15"/>
      <c r="E12" s="15"/>
      <c r="F12" s="15"/>
      <c r="G12" s="15"/>
      <c r="H12" s="18"/>
    </row>
    <row r="13" ht="15.75" customHeight="1">
      <c r="A13" s="59" t="s">
        <v>33</v>
      </c>
      <c r="B13" s="87">
        <v>5.0</v>
      </c>
      <c r="C13" s="15"/>
      <c r="D13" s="15"/>
      <c r="E13" s="15"/>
      <c r="F13" s="15"/>
      <c r="G13" s="15"/>
      <c r="H13" s="18"/>
    </row>
    <row r="14" ht="15.75" customHeight="1">
      <c r="A14" s="108" t="s">
        <v>267</v>
      </c>
      <c r="B14" s="15"/>
      <c r="C14" s="15"/>
      <c r="D14" s="15"/>
      <c r="E14" s="15"/>
      <c r="F14" s="15"/>
      <c r="G14" s="15"/>
      <c r="H14" s="18"/>
    </row>
    <row r="15" ht="15.75" customHeight="1">
      <c r="A15" s="109" t="s">
        <v>343</v>
      </c>
      <c r="B15" s="100"/>
      <c r="C15" s="100"/>
      <c r="D15" s="100"/>
      <c r="E15" s="100"/>
      <c r="F15" s="100"/>
      <c r="G15" s="100"/>
      <c r="H15" s="102"/>
    </row>
    <row r="16" ht="15.75" customHeight="1">
      <c r="A16" s="104"/>
      <c r="B16" s="105"/>
      <c r="C16" s="105"/>
      <c r="D16" s="105"/>
      <c r="E16" s="105"/>
      <c r="F16" s="105"/>
      <c r="G16" s="105"/>
      <c r="H16" s="107"/>
    </row>
    <row r="17" ht="15.75" customHeight="1">
      <c r="A17" s="108" t="s">
        <v>269</v>
      </c>
      <c r="B17" s="15"/>
      <c r="C17" s="15"/>
      <c r="D17" s="15"/>
      <c r="E17" s="15"/>
      <c r="F17" s="15"/>
      <c r="G17" s="15"/>
      <c r="H17" s="18"/>
    </row>
    <row r="18" ht="15.75" customHeight="1">
      <c r="A18" s="109" t="s">
        <v>344</v>
      </c>
      <c r="B18" s="100"/>
      <c r="C18" s="100"/>
      <c r="D18" s="100"/>
      <c r="E18" s="100"/>
      <c r="F18" s="100"/>
      <c r="G18" s="100"/>
      <c r="H18" s="102"/>
    </row>
    <row r="19" ht="15.75" customHeight="1">
      <c r="A19" s="104"/>
      <c r="B19" s="105"/>
      <c r="C19" s="105"/>
      <c r="D19" s="105"/>
      <c r="E19" s="105"/>
      <c r="F19" s="105"/>
      <c r="G19" s="105"/>
      <c r="H19" s="107"/>
    </row>
    <row r="20" ht="15.75" customHeight="1"/>
    <row r="21" ht="15.75" customHeight="1">
      <c r="A21" s="103" t="s">
        <v>271</v>
      </c>
      <c r="G21" s="73" t="s">
        <v>33</v>
      </c>
      <c r="H21" s="106">
        <f>SUM(D39:H42)</f>
        <v>55</v>
      </c>
      <c r="I21" s="11"/>
    </row>
    <row r="22" ht="15.75" customHeight="1">
      <c r="G22" s="43" t="s">
        <v>273</v>
      </c>
    </row>
    <row r="23" ht="15.75" customHeight="1">
      <c r="A23" s="55" t="s">
        <v>274</v>
      </c>
      <c r="B23" s="87" t="s">
        <v>188</v>
      </c>
      <c r="C23" s="15"/>
      <c r="D23" s="15"/>
      <c r="E23" s="15"/>
      <c r="F23" s="15"/>
      <c r="G23" s="15"/>
      <c r="H23" s="18"/>
    </row>
    <row r="24" ht="15.75" customHeight="1">
      <c r="A24" s="55" t="s">
        <v>274</v>
      </c>
      <c r="B24" s="87" t="s">
        <v>29</v>
      </c>
      <c r="C24" s="15"/>
      <c r="D24" s="15"/>
      <c r="E24" s="15"/>
      <c r="F24" s="15"/>
      <c r="G24" s="15"/>
      <c r="H24" s="18"/>
    </row>
    <row r="25" ht="15.75" customHeight="1"/>
    <row r="26" ht="15.75" customHeight="1">
      <c r="A26" s="111" t="s">
        <v>276</v>
      </c>
      <c r="B26" s="11"/>
      <c r="C26" s="11"/>
      <c r="D26" s="11"/>
    </row>
    <row r="27" ht="15.75" customHeight="1">
      <c r="A27" s="112" t="s">
        <v>13</v>
      </c>
      <c r="B27" s="113" t="s">
        <v>278</v>
      </c>
      <c r="C27" s="18"/>
      <c r="D27" s="113" t="s">
        <v>279</v>
      </c>
      <c r="E27" s="18"/>
      <c r="F27" s="113" t="s">
        <v>280</v>
      </c>
      <c r="G27" s="15"/>
      <c r="H27" s="18"/>
    </row>
    <row r="28" ht="15.75" customHeight="1">
      <c r="A28" s="22">
        <v>1.0</v>
      </c>
      <c r="B28" s="14" t="str">
        <f>IFERROR(__xludf.DUMMYFUNCTION("FILTER('Diseño'!D:D,'Diseño'!H:H=$C$5)"),"Evaluación y Tendencias de Sistemas Operativos")</f>
        <v>Evaluación y Tendencias de Sistemas Operativos</v>
      </c>
      <c r="C28" s="18"/>
      <c r="D28" s="14" t="str">
        <f>IFERROR(__xludf.DUMMYFUNCTION("FILTER('Diseño'!E:E,'Diseño'!H:H=$C$5)"),"Arquitecturas de Kernel")</f>
        <v>Arquitecturas de Kernel</v>
      </c>
      <c r="E28" s="18"/>
      <c r="F28" s="14" t="str">
        <f>IFERROR(__xludf.DUMMYFUNCTION("FILTER('Diseño'!F:F,'Diseño'!H:H=$C$5)"),"Comparativa: monolítica, microkernel e híbrida — pros, contras y ejemplos.")</f>
        <v>Comparativa: monolítica, microkernel e híbrida — pros, contras y ejemplos.</v>
      </c>
      <c r="G28" s="15"/>
      <c r="H28" s="18"/>
    </row>
    <row r="29" ht="15.75" customHeight="1">
      <c r="A29" s="22">
        <v>2.0</v>
      </c>
      <c r="B29" s="14" t="str">
        <f>IFERROR(__xludf.DUMMYFUNCTION("""COMPUTED_VALUE"""),"Evaluación y Tendencias de Sistemas Operativos")</f>
        <v>Evaluación y Tendencias de Sistemas Operativos</v>
      </c>
      <c r="C29" s="18"/>
      <c r="D29" s="14" t="str">
        <f>IFERROR(__xludf.DUMMYFUNCTION("""COMPUTED_VALUE"""),"Casos de Uso Reales")</f>
        <v>Casos de Uso Reales</v>
      </c>
      <c r="E29" s="18"/>
      <c r="F29" s="14" t="str">
        <f>IFERROR(__xludf.DUMMYFUNCTION("""COMPUTED_VALUE"""),"Linux, Windows NT y macOS XNU: fortalezas, limitaciones y postura de seguridad.")</f>
        <v>Linux, Windows NT y macOS XNU: fortalezas, limitaciones y postura de seguridad.</v>
      </c>
      <c r="G29" s="15"/>
      <c r="H29" s="18"/>
    </row>
    <row r="30" ht="15.75" customHeight="1">
      <c r="A30" s="22">
        <v>3.0</v>
      </c>
      <c r="B30" s="14" t="str">
        <f>IFERROR(__xludf.DUMMYFUNCTION("""COMPUTED_VALUE"""),"Evaluación y Tendencias de Sistemas Operativos")</f>
        <v>Evaluación y Tendencias de Sistemas Operativos</v>
      </c>
      <c r="C30" s="18"/>
      <c r="D30" s="14" t="str">
        <f>IFERROR(__xludf.DUMMYFUNCTION("""COMPUTED_VALUE"""),"Sistemas en Tiempo Real")</f>
        <v>Sistemas en Tiempo Real</v>
      </c>
      <c r="E30" s="18"/>
      <c r="F30" s="14" t="str">
        <f>IFERROR(__xludf.DUMMYFUNCTION("""COMPUTED_VALUE"""),"RTOS: características, ventajas y aplicaciones industriales y embebidas.")</f>
        <v>RTOS: características, ventajas y aplicaciones industriales y embebidas.</v>
      </c>
      <c r="G30" s="15"/>
      <c r="H30" s="18"/>
    </row>
    <row r="31" ht="15.75" customHeight="1">
      <c r="A31" s="22">
        <v>4.0</v>
      </c>
      <c r="B31" s="14" t="str">
        <f>IFERROR(__xludf.DUMMYFUNCTION("""COMPUTED_VALUE"""),"Evaluación y Tendencias de Sistemas Operativos")</f>
        <v>Evaluación y Tendencias de Sistemas Operativos</v>
      </c>
      <c r="C31" s="18"/>
      <c r="D31" s="14" t="str">
        <f>IFERROR(__xludf.DUMMYFUNCTION("""COMPUTED_VALUE"""),"Virtualización Ligera")</f>
        <v>Virtualización Ligera</v>
      </c>
      <c r="E31" s="18"/>
      <c r="F31" s="14" t="str">
        <f>IFERROR(__xludf.DUMMYFUNCTION("""COMPUTED_VALUE"""),"Contenedores (Docker, LXC) e impacto en el rol del SO moderno.")</f>
        <v>Contenedores (Docker, LXC) e impacto en el rol del SO moderno.</v>
      </c>
      <c r="G31" s="15"/>
      <c r="H31" s="18"/>
    </row>
    <row r="32" ht="15.75" customHeight="1">
      <c r="A32" s="22">
        <v>5.0</v>
      </c>
      <c r="B32" s="14" t="str">
        <f>IFERROR(__xludf.DUMMYFUNCTION("""COMPUTED_VALUE"""),"Evaluación y Tendencias de Sistemas Operativos")</f>
        <v>Evaluación y Tendencias de Sistemas Operativos</v>
      </c>
      <c r="C32" s="18"/>
      <c r="D32" s="14" t="str">
        <f>IFERROR(__xludf.DUMMYFUNCTION("""COMPUTED_VALUE"""),"Tendencias Emergentes")</f>
        <v>Tendencias Emergentes</v>
      </c>
      <c r="E32" s="18"/>
      <c r="F32" s="14" t="str">
        <f>IFERROR(__xludf.DUMMYFUNCTION("""COMPUTED_VALUE"""),"Unikernels, SO en la nube y SO seguros por diseño (Qubes OS, seL4).")</f>
        <v>Unikernels, SO en la nube y SO seguros por diseño (Qubes OS, seL4).</v>
      </c>
      <c r="G32" s="15"/>
      <c r="H32" s="18"/>
    </row>
    <row r="33" ht="15.75" customHeight="1">
      <c r="A33" s="22">
        <v>6.0</v>
      </c>
      <c r="B33" s="14" t="str">
        <f>IFERROR(__xludf.DUMMYFUNCTION("""COMPUTED_VALUE"""),"Evaluación y Tendencias de Sistemas Operativos")</f>
        <v>Evaluación y Tendencias de Sistemas Operativos</v>
      </c>
      <c r="C33" s="18"/>
      <c r="D33" s="14" t="str">
        <f>IFERROR(__xludf.DUMMYFUNCTION("""COMPUTED_VALUE"""),"Criterios de Selección")</f>
        <v>Criterios de Selección</v>
      </c>
      <c r="E33" s="18"/>
      <c r="F33" s="14" t="str">
        <f>IFERROR(__xludf.DUMMYFUNCTION("""COMPUTED_VALUE"""),"Rendimiento, seguridad y mantenibilidad como ejes para elegir un SO en proyectos de ingeniería.")</f>
        <v>Rendimiento, seguridad y mantenibilidad como ejes para elegir un SO en proyectos de ingeniería.</v>
      </c>
      <c r="G33" s="15"/>
      <c r="H33" s="18"/>
    </row>
    <row r="34" ht="15.75" customHeight="1">
      <c r="A34" s="22">
        <v>7.0</v>
      </c>
      <c r="B34" s="14"/>
      <c r="C34" s="18"/>
      <c r="D34" s="14"/>
      <c r="E34" s="18"/>
      <c r="F34" s="14"/>
      <c r="G34" s="15"/>
      <c r="H34" s="18"/>
    </row>
    <row r="35" ht="15.75" customHeight="1"/>
    <row r="36" ht="15.75" customHeight="1">
      <c r="A36" s="111" t="s">
        <v>284</v>
      </c>
    </row>
    <row r="37" ht="15.75" customHeight="1">
      <c r="A37" s="11"/>
      <c r="B37" s="11"/>
      <c r="C37" s="11"/>
      <c r="D37" s="11"/>
      <c r="E37" s="11"/>
      <c r="F37" s="11"/>
      <c r="G37" s="11"/>
      <c r="H37" s="11"/>
    </row>
    <row r="38">
      <c r="A38" s="112" t="s">
        <v>286</v>
      </c>
      <c r="B38" s="112" t="s">
        <v>68</v>
      </c>
      <c r="C38" s="114" t="s">
        <v>287</v>
      </c>
      <c r="D38" s="115" t="s">
        <v>288</v>
      </c>
      <c r="E38" s="15"/>
      <c r="F38" s="15"/>
      <c r="G38" s="15"/>
      <c r="H38" s="18"/>
      <c r="I38" s="116" t="s">
        <v>219</v>
      </c>
    </row>
    <row r="39" ht="15.75" customHeight="1">
      <c r="A39" s="22" t="s">
        <v>289</v>
      </c>
      <c r="B39" s="22" t="s">
        <v>290</v>
      </c>
      <c r="C39" s="22">
        <v>30.0</v>
      </c>
      <c r="D39" s="128">
        <v>25.0</v>
      </c>
      <c r="E39" s="15"/>
      <c r="F39" s="15"/>
      <c r="G39" s="15"/>
      <c r="H39" s="18"/>
      <c r="I39" s="22" t="str">
        <f t="shared" ref="I39:I42" si="1">IF(D39&lt;=C39,"Correcto", "Corregir")</f>
        <v>Correcto</v>
      </c>
    </row>
    <row r="40" ht="15.75" customHeight="1">
      <c r="A40" s="22" t="s">
        <v>291</v>
      </c>
      <c r="B40" s="22" t="s">
        <v>290</v>
      </c>
      <c r="C40" s="22">
        <v>6.0</v>
      </c>
      <c r="D40" s="129">
        <v>5.0</v>
      </c>
      <c r="E40" s="15"/>
      <c r="F40" s="15"/>
      <c r="G40" s="15"/>
      <c r="H40" s="18"/>
      <c r="I40" s="22" t="str">
        <f t="shared" si="1"/>
        <v>Correcto</v>
      </c>
    </row>
    <row r="41" ht="15.75" customHeight="1">
      <c r="A41" s="22" t="s">
        <v>292</v>
      </c>
      <c r="B41" s="22" t="s">
        <v>293</v>
      </c>
      <c r="C41" s="22">
        <v>10.0</v>
      </c>
      <c r="D41" s="129">
        <v>0.0</v>
      </c>
      <c r="E41" s="15"/>
      <c r="F41" s="15"/>
      <c r="G41" s="15"/>
      <c r="H41" s="18"/>
      <c r="I41" s="22" t="str">
        <f t="shared" si="1"/>
        <v>Correcto</v>
      </c>
    </row>
    <row r="42" ht="15.75" customHeight="1">
      <c r="A42" s="22" t="s">
        <v>294</v>
      </c>
      <c r="B42" s="22" t="s">
        <v>290</v>
      </c>
      <c r="C42" s="22">
        <v>30.0</v>
      </c>
      <c r="D42" s="129">
        <v>25.0</v>
      </c>
      <c r="E42" s="15"/>
      <c r="F42" s="15"/>
      <c r="G42" s="15"/>
      <c r="H42" s="18"/>
      <c r="I42" s="22" t="str">
        <f t="shared" si="1"/>
        <v>Correcto</v>
      </c>
    </row>
    <row r="43" ht="15.75" customHeight="1"/>
    <row r="44" ht="15.75" customHeight="1">
      <c r="A44" s="103" t="s">
        <v>295</v>
      </c>
      <c r="G44" s="73" t="s">
        <v>33</v>
      </c>
      <c r="H44" s="106">
        <f>B50</f>
        <v>40</v>
      </c>
    </row>
    <row r="45" ht="15.75" customHeight="1">
      <c r="G45" s="43" t="s">
        <v>296</v>
      </c>
    </row>
    <row r="46" ht="15.75" customHeight="1">
      <c r="A46" s="43" t="s">
        <v>297</v>
      </c>
    </row>
    <row r="47">
      <c r="A47" s="55" t="s">
        <v>298</v>
      </c>
      <c r="B47" s="87" t="s">
        <v>188</v>
      </c>
      <c r="C47" s="15"/>
      <c r="D47" s="15"/>
      <c r="E47" s="15"/>
      <c r="F47" s="15"/>
      <c r="G47" s="15"/>
      <c r="H47" s="18"/>
    </row>
    <row r="48" ht="15.75" customHeight="1">
      <c r="A48" s="55" t="s">
        <v>11</v>
      </c>
      <c r="B48" s="87" t="s">
        <v>299</v>
      </c>
      <c r="C48" s="15"/>
      <c r="D48" s="15"/>
      <c r="E48" s="15"/>
      <c r="F48" s="15"/>
      <c r="G48" s="15"/>
      <c r="H48" s="18"/>
    </row>
    <row r="49" ht="15.75" customHeight="1">
      <c r="A49" s="55" t="s">
        <v>259</v>
      </c>
      <c r="B49" s="117">
        <v>0.0</v>
      </c>
      <c r="C49" s="15"/>
      <c r="D49" s="15"/>
      <c r="E49" s="15"/>
      <c r="F49" s="15"/>
      <c r="G49" s="15"/>
      <c r="H49" s="18"/>
    </row>
    <row r="50" ht="15.75" customHeight="1">
      <c r="A50" s="55" t="s">
        <v>33</v>
      </c>
      <c r="B50" s="87">
        <v>40.0</v>
      </c>
      <c r="C50" s="15"/>
      <c r="D50" s="15"/>
      <c r="E50" s="15"/>
      <c r="F50" s="15"/>
      <c r="G50" s="15"/>
      <c r="H50" s="18"/>
    </row>
    <row r="51" ht="15.75" customHeight="1">
      <c r="A51" s="119" t="s">
        <v>300</v>
      </c>
      <c r="B51" s="11"/>
      <c r="C51" s="11"/>
      <c r="D51" s="11"/>
      <c r="E51" s="11"/>
      <c r="F51" s="11"/>
      <c r="G51" s="11"/>
      <c r="H51" s="11"/>
    </row>
    <row r="52" ht="15.75" customHeight="1">
      <c r="A52" s="108" t="s">
        <v>301</v>
      </c>
      <c r="B52" s="15"/>
      <c r="C52" s="15"/>
      <c r="D52" s="15"/>
      <c r="E52" s="15"/>
      <c r="F52" s="15"/>
      <c r="G52" s="15"/>
      <c r="H52" s="18"/>
    </row>
    <row r="53" ht="15.75" customHeight="1">
      <c r="A53" s="109" t="s">
        <v>359</v>
      </c>
      <c r="B53" s="100"/>
      <c r="C53" s="100"/>
      <c r="D53" s="100"/>
      <c r="E53" s="100"/>
      <c r="F53" s="100"/>
      <c r="G53" s="100"/>
      <c r="H53" s="102"/>
    </row>
    <row r="54" ht="15.75" customHeight="1">
      <c r="A54" s="122"/>
      <c r="H54" s="124"/>
    </row>
    <row r="55" ht="15.75" customHeight="1">
      <c r="A55" s="104"/>
      <c r="B55" s="105"/>
      <c r="C55" s="105"/>
      <c r="D55" s="105"/>
      <c r="E55" s="105"/>
      <c r="F55" s="105"/>
      <c r="G55" s="105"/>
      <c r="H55" s="107"/>
    </row>
    <row r="56" ht="15.75" customHeight="1"/>
    <row r="57" ht="15.75" customHeight="1">
      <c r="A57" s="43" t="s">
        <v>304</v>
      </c>
    </row>
    <row r="58">
      <c r="A58" s="55" t="s">
        <v>298</v>
      </c>
      <c r="B58" s="14"/>
      <c r="C58" s="15"/>
      <c r="D58" s="15"/>
      <c r="E58" s="15"/>
      <c r="F58" s="15"/>
      <c r="G58" s="15"/>
      <c r="H58" s="18"/>
    </row>
    <row r="59" ht="15.75" customHeight="1">
      <c r="A59" s="55" t="s">
        <v>11</v>
      </c>
      <c r="B59" s="14"/>
      <c r="C59" s="15"/>
      <c r="D59" s="15"/>
      <c r="E59" s="15"/>
      <c r="F59" s="15"/>
      <c r="G59" s="15"/>
      <c r="H59" s="18"/>
    </row>
    <row r="60" ht="15.75" customHeight="1">
      <c r="A60" s="55" t="s">
        <v>259</v>
      </c>
      <c r="B60" s="117"/>
      <c r="C60" s="15"/>
      <c r="D60" s="15"/>
      <c r="E60" s="15"/>
      <c r="F60" s="15"/>
      <c r="G60" s="15"/>
      <c r="H60" s="18"/>
    </row>
    <row r="61" ht="15.75" customHeight="1">
      <c r="A61" s="55" t="s">
        <v>33</v>
      </c>
      <c r="B61" s="117"/>
      <c r="C61" s="15"/>
      <c r="D61" s="15"/>
      <c r="E61" s="15"/>
      <c r="F61" s="15"/>
      <c r="G61" s="15"/>
      <c r="H61" s="18"/>
    </row>
    <row r="62" ht="15.75" customHeight="1">
      <c r="A62" s="125" t="s">
        <v>305</v>
      </c>
      <c r="B62" s="11"/>
      <c r="C62" s="11"/>
      <c r="D62" s="11"/>
      <c r="E62" s="11"/>
      <c r="F62" s="11"/>
      <c r="G62" s="11"/>
      <c r="H62" s="11"/>
    </row>
    <row r="63" ht="15.75" customHeight="1">
      <c r="A63" s="108" t="s">
        <v>301</v>
      </c>
      <c r="B63" s="15"/>
      <c r="C63" s="15"/>
      <c r="D63" s="15"/>
      <c r="E63" s="15"/>
      <c r="F63" s="15"/>
      <c r="G63" s="15"/>
      <c r="H63" s="18"/>
    </row>
    <row r="64" ht="15.75" customHeight="1">
      <c r="A64" s="126"/>
      <c r="B64" s="100"/>
      <c r="C64" s="100"/>
      <c r="D64" s="100"/>
      <c r="E64" s="100"/>
      <c r="F64" s="100"/>
      <c r="G64" s="100"/>
      <c r="H64" s="102"/>
    </row>
    <row r="65" ht="15.75" customHeight="1">
      <c r="A65" s="122"/>
      <c r="H65" s="124"/>
    </row>
    <row r="66" ht="15.75" customHeight="1">
      <c r="A66" s="104"/>
      <c r="B66" s="105"/>
      <c r="C66" s="105"/>
      <c r="D66" s="105"/>
      <c r="E66" s="105"/>
      <c r="F66" s="105"/>
      <c r="G66" s="105"/>
      <c r="H66" s="107"/>
    </row>
    <row r="67" ht="15.75" customHeight="1"/>
    <row r="68" ht="15.75" customHeight="1">
      <c r="A68" s="103" t="s">
        <v>306</v>
      </c>
      <c r="G68" s="73" t="s">
        <v>33</v>
      </c>
      <c r="H68" s="106">
        <f>B70</f>
        <v>10</v>
      </c>
    </row>
    <row r="69" ht="15.75" customHeight="1">
      <c r="G69" s="43" t="s">
        <v>307</v>
      </c>
    </row>
    <row r="70" ht="15.75" customHeight="1">
      <c r="A70" s="55" t="s">
        <v>33</v>
      </c>
      <c r="B70" s="118">
        <v>10.0</v>
      </c>
      <c r="C70" s="15"/>
      <c r="D70" s="15"/>
      <c r="E70" s="15"/>
      <c r="F70" s="15"/>
      <c r="G70" s="15"/>
      <c r="H70" s="18"/>
    </row>
    <row r="71" ht="15.75" customHeight="1">
      <c r="A71" s="115" t="s">
        <v>308</v>
      </c>
      <c r="B71" s="15"/>
      <c r="C71" s="15"/>
      <c r="D71" s="15"/>
      <c r="E71" s="15"/>
      <c r="F71" s="15"/>
      <c r="G71" s="15"/>
      <c r="H71" s="18"/>
    </row>
    <row r="72" ht="15.75" customHeight="1">
      <c r="A72" s="109" t="s">
        <v>309</v>
      </c>
      <c r="B72" s="100"/>
      <c r="C72" s="100"/>
      <c r="D72" s="100"/>
      <c r="E72" s="100"/>
      <c r="F72" s="100"/>
      <c r="G72" s="100"/>
      <c r="H72" s="102"/>
    </row>
    <row r="73" ht="15.75" customHeight="1">
      <c r="A73" s="104"/>
      <c r="B73" s="105"/>
      <c r="C73" s="105"/>
      <c r="D73" s="105"/>
      <c r="E73" s="105"/>
      <c r="F73" s="105"/>
      <c r="G73" s="105"/>
      <c r="H73" s="107"/>
    </row>
    <row r="74" ht="15.75" customHeight="1">
      <c r="A74" s="43" t="s">
        <v>311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3" t="s">
        <v>100</v>
      </c>
    </row>
    <row r="3" ht="15.75" customHeight="1"/>
    <row r="4" ht="15.75" customHeight="1">
      <c r="B4" s="9" t="s">
        <v>2</v>
      </c>
      <c r="C4" s="14" t="str">
        <f>'Diseño'!C4</f>
        <v>285 - Sistemas Operativos 2</v>
      </c>
      <c r="D4" s="15"/>
      <c r="E4" s="15"/>
      <c r="F4" s="15"/>
      <c r="G4" s="18"/>
    </row>
    <row r="5" ht="15.75" customHeight="1">
      <c r="B5" s="96" t="s">
        <v>21</v>
      </c>
      <c r="C5" s="14">
        <f>H9+H26+H43</f>
        <v>50</v>
      </c>
      <c r="D5" s="15"/>
      <c r="E5" s="15"/>
      <c r="F5" s="15"/>
      <c r="G5" s="18"/>
    </row>
    <row r="6" ht="15.75" customHeight="1">
      <c r="B6" s="96" t="s">
        <v>259</v>
      </c>
      <c r="C6" s="14">
        <f>F9+F26+F43</f>
        <v>60</v>
      </c>
      <c r="D6" s="15"/>
      <c r="E6" s="15"/>
      <c r="F6" s="15"/>
      <c r="G6" s="18"/>
    </row>
    <row r="7" ht="15.75" customHeight="1">
      <c r="B7" s="12" t="s">
        <v>346</v>
      </c>
    </row>
    <row r="8" ht="15.75" customHeight="1"/>
    <row r="9" ht="15.75" customHeight="1">
      <c r="A9" s="103" t="s">
        <v>347</v>
      </c>
      <c r="E9" s="73" t="s">
        <v>259</v>
      </c>
      <c r="F9" s="110">
        <v>60.0</v>
      </c>
      <c r="G9" s="73" t="s">
        <v>348</v>
      </c>
      <c r="H9" s="110">
        <v>50.0</v>
      </c>
    </row>
    <row r="10" ht="15.75" customHeight="1">
      <c r="A10" s="12" t="s">
        <v>290</v>
      </c>
    </row>
    <row r="11" ht="15.75" customHeight="1">
      <c r="A11" s="112" t="s">
        <v>274</v>
      </c>
      <c r="B11" s="33" t="s">
        <v>51</v>
      </c>
    </row>
    <row r="12" ht="15.75" customHeight="1">
      <c r="A12" s="112" t="s">
        <v>274</v>
      </c>
      <c r="B12" s="33" t="s">
        <v>81</v>
      </c>
    </row>
    <row r="13" ht="15.75" customHeight="1">
      <c r="A13" s="112" t="s">
        <v>274</v>
      </c>
      <c r="B13" s="33" t="s">
        <v>63</v>
      </c>
    </row>
    <row r="14" ht="15.75" customHeight="1">
      <c r="A14" s="112" t="s">
        <v>349</v>
      </c>
      <c r="B14" s="87" t="s">
        <v>350</v>
      </c>
      <c r="C14" s="15"/>
      <c r="D14" s="15"/>
      <c r="E14" s="15"/>
      <c r="F14" s="15"/>
      <c r="G14" s="15"/>
      <c r="H14" s="18"/>
    </row>
    <row r="15" ht="15.75" customHeight="1">
      <c r="A15" s="108" t="s">
        <v>351</v>
      </c>
      <c r="B15" s="15"/>
      <c r="C15" s="15"/>
      <c r="D15" s="15"/>
      <c r="E15" s="15"/>
      <c r="F15" s="15"/>
      <c r="G15" s="15"/>
      <c r="H15" s="18"/>
    </row>
    <row r="16" ht="15.75" customHeight="1">
      <c r="A16" s="109" t="s">
        <v>352</v>
      </c>
      <c r="B16" s="100"/>
      <c r="C16" s="100"/>
      <c r="D16" s="100"/>
      <c r="E16" s="100"/>
      <c r="F16" s="100"/>
      <c r="G16" s="100"/>
      <c r="H16" s="102"/>
    </row>
    <row r="17" ht="15.75" customHeight="1">
      <c r="A17" s="122"/>
      <c r="H17" s="124"/>
    </row>
    <row r="18" ht="15.75" customHeight="1">
      <c r="A18" s="104"/>
      <c r="B18" s="105"/>
      <c r="C18" s="105"/>
      <c r="D18" s="105"/>
      <c r="E18" s="105"/>
      <c r="F18" s="105"/>
      <c r="G18" s="105"/>
      <c r="H18" s="107"/>
    </row>
    <row r="19" ht="15.75" customHeight="1">
      <c r="A19" s="108" t="s">
        <v>353</v>
      </c>
      <c r="B19" s="15"/>
      <c r="C19" s="15"/>
      <c r="D19" s="15"/>
      <c r="E19" s="15"/>
      <c r="F19" s="15"/>
      <c r="G19" s="15"/>
      <c r="H19" s="18"/>
    </row>
    <row r="20" ht="15.75" customHeight="1">
      <c r="A20" s="109" t="s">
        <v>354</v>
      </c>
      <c r="B20" s="100"/>
      <c r="C20" s="100"/>
      <c r="D20" s="100"/>
      <c r="E20" s="100"/>
      <c r="F20" s="100"/>
      <c r="G20" s="100"/>
      <c r="H20" s="102"/>
    </row>
    <row r="21" ht="15.75" customHeight="1">
      <c r="A21" s="122"/>
      <c r="H21" s="124"/>
    </row>
    <row r="22" ht="15.75" customHeight="1">
      <c r="A22" s="122"/>
      <c r="H22" s="124"/>
    </row>
    <row r="23" ht="15.75" customHeight="1">
      <c r="A23" s="104"/>
      <c r="B23" s="105"/>
      <c r="C23" s="105"/>
      <c r="D23" s="105"/>
      <c r="E23" s="105"/>
      <c r="F23" s="105"/>
      <c r="G23" s="105"/>
      <c r="H23" s="107"/>
    </row>
    <row r="24" ht="15.75" customHeight="1"/>
    <row r="25" ht="15.75" customHeight="1"/>
    <row r="26" ht="15.75" customHeight="1">
      <c r="A26" s="103" t="s">
        <v>355</v>
      </c>
      <c r="E26" s="73" t="s">
        <v>259</v>
      </c>
      <c r="F26" s="106"/>
      <c r="G26" s="73" t="s">
        <v>348</v>
      </c>
      <c r="H26" s="106"/>
    </row>
    <row r="27" ht="15.75" customHeight="1">
      <c r="A27" s="12" t="s">
        <v>290</v>
      </c>
    </row>
    <row r="28" ht="15.75" customHeight="1">
      <c r="A28" s="112" t="s">
        <v>274</v>
      </c>
      <c r="B28" s="14"/>
      <c r="C28" s="15"/>
      <c r="D28" s="15"/>
      <c r="E28" s="15"/>
      <c r="F28" s="15"/>
      <c r="G28" s="15"/>
      <c r="H28" s="18"/>
    </row>
    <row r="29" ht="15.75" customHeight="1">
      <c r="A29" s="112" t="s">
        <v>274</v>
      </c>
      <c r="B29" s="14"/>
      <c r="C29" s="15"/>
      <c r="D29" s="15"/>
      <c r="E29" s="15"/>
      <c r="F29" s="15"/>
      <c r="G29" s="15"/>
      <c r="H29" s="18"/>
    </row>
    <row r="30" ht="15.75" customHeight="1">
      <c r="A30" s="112" t="s">
        <v>274</v>
      </c>
      <c r="B30" s="14"/>
      <c r="C30" s="15"/>
      <c r="D30" s="15"/>
      <c r="E30" s="15"/>
      <c r="F30" s="15"/>
      <c r="G30" s="15"/>
      <c r="H30" s="18"/>
    </row>
    <row r="31" ht="15.75" customHeight="1">
      <c r="A31" s="112" t="s">
        <v>349</v>
      </c>
      <c r="B31" s="14"/>
      <c r="C31" s="15"/>
      <c r="D31" s="15"/>
      <c r="E31" s="15"/>
      <c r="F31" s="15"/>
      <c r="G31" s="15"/>
      <c r="H31" s="18"/>
    </row>
    <row r="32" ht="15.75" customHeight="1">
      <c r="A32" s="108" t="s">
        <v>351</v>
      </c>
      <c r="B32" s="15"/>
      <c r="C32" s="15"/>
      <c r="D32" s="15"/>
      <c r="E32" s="15"/>
      <c r="F32" s="15"/>
      <c r="G32" s="15"/>
      <c r="H32" s="18"/>
    </row>
    <row r="33" ht="15.75" customHeight="1">
      <c r="A33" s="126"/>
      <c r="B33" s="100"/>
      <c r="C33" s="100"/>
      <c r="D33" s="100"/>
      <c r="E33" s="100"/>
      <c r="F33" s="100"/>
      <c r="G33" s="100"/>
      <c r="H33" s="102"/>
    </row>
    <row r="34" ht="15.75" customHeight="1">
      <c r="A34" s="122"/>
      <c r="H34" s="124"/>
    </row>
    <row r="35" ht="15.75" customHeight="1">
      <c r="A35" s="104"/>
      <c r="B35" s="105"/>
      <c r="C35" s="105"/>
      <c r="D35" s="105"/>
      <c r="E35" s="105"/>
      <c r="F35" s="105"/>
      <c r="G35" s="105"/>
      <c r="H35" s="107"/>
    </row>
    <row r="36" ht="15.75" customHeight="1">
      <c r="A36" s="108" t="s">
        <v>353</v>
      </c>
      <c r="B36" s="15"/>
      <c r="C36" s="15"/>
      <c r="D36" s="15"/>
      <c r="E36" s="15"/>
      <c r="F36" s="15"/>
      <c r="G36" s="15"/>
      <c r="H36" s="18"/>
    </row>
    <row r="37" ht="15.75" customHeight="1">
      <c r="A37" s="126"/>
      <c r="B37" s="100"/>
      <c r="C37" s="100"/>
      <c r="D37" s="100"/>
      <c r="E37" s="100"/>
      <c r="F37" s="100"/>
      <c r="G37" s="100"/>
      <c r="H37" s="102"/>
    </row>
    <row r="38" ht="15.75" customHeight="1">
      <c r="A38" s="122"/>
      <c r="H38" s="124"/>
    </row>
    <row r="39" ht="15.75" customHeight="1">
      <c r="A39" s="122"/>
      <c r="H39" s="124"/>
    </row>
    <row r="40" ht="15.75" customHeight="1">
      <c r="A40" s="104"/>
      <c r="B40" s="105"/>
      <c r="C40" s="105"/>
      <c r="D40" s="105"/>
      <c r="E40" s="105"/>
      <c r="F40" s="105"/>
      <c r="G40" s="105"/>
      <c r="H40" s="107"/>
    </row>
    <row r="41" ht="15.75" customHeight="1"/>
    <row r="42" ht="15.75" customHeight="1"/>
    <row r="43" ht="15.75" customHeight="1">
      <c r="A43" s="103" t="s">
        <v>356</v>
      </c>
      <c r="E43" s="73" t="s">
        <v>259</v>
      </c>
      <c r="F43" s="106"/>
      <c r="G43" s="73" t="s">
        <v>348</v>
      </c>
      <c r="H43" s="106"/>
    </row>
    <row r="44" ht="15.75" customHeight="1">
      <c r="A44" s="119" t="s">
        <v>357</v>
      </c>
    </row>
    <row r="45" ht="15.75" customHeight="1">
      <c r="A45" s="112" t="s">
        <v>274</v>
      </c>
      <c r="B45" s="14"/>
      <c r="C45" s="15"/>
      <c r="D45" s="15"/>
      <c r="E45" s="15"/>
      <c r="F45" s="15"/>
      <c r="G45" s="15"/>
      <c r="H45" s="18"/>
    </row>
    <row r="46" ht="15.75" customHeight="1">
      <c r="A46" s="112" t="s">
        <v>274</v>
      </c>
      <c r="B46" s="14"/>
      <c r="C46" s="15"/>
      <c r="D46" s="15"/>
      <c r="E46" s="15"/>
      <c r="F46" s="15"/>
      <c r="G46" s="15"/>
      <c r="H46" s="18"/>
    </row>
    <row r="47" ht="15.75" customHeight="1">
      <c r="A47" s="112" t="s">
        <v>274</v>
      </c>
      <c r="B47" s="14"/>
      <c r="C47" s="15"/>
      <c r="D47" s="15"/>
      <c r="E47" s="15"/>
      <c r="F47" s="15"/>
      <c r="G47" s="15"/>
      <c r="H47" s="18"/>
    </row>
    <row r="48" ht="15.75" customHeight="1">
      <c r="A48" s="112" t="s">
        <v>349</v>
      </c>
      <c r="B48" s="14"/>
      <c r="C48" s="15"/>
      <c r="D48" s="15"/>
      <c r="E48" s="15"/>
      <c r="F48" s="15"/>
      <c r="G48" s="15"/>
      <c r="H48" s="18"/>
    </row>
    <row r="49" ht="15.75" customHeight="1">
      <c r="A49" s="108" t="s">
        <v>351</v>
      </c>
      <c r="B49" s="15"/>
      <c r="C49" s="15"/>
      <c r="D49" s="15"/>
      <c r="E49" s="15"/>
      <c r="F49" s="15"/>
      <c r="G49" s="15"/>
      <c r="H49" s="18"/>
    </row>
    <row r="50" ht="15.75" customHeight="1">
      <c r="A50" s="126"/>
      <c r="B50" s="100"/>
      <c r="C50" s="100"/>
      <c r="D50" s="100"/>
      <c r="E50" s="100"/>
      <c r="F50" s="100"/>
      <c r="G50" s="100"/>
      <c r="H50" s="102"/>
    </row>
    <row r="51" ht="15.75" customHeight="1">
      <c r="A51" s="122"/>
      <c r="H51" s="124"/>
    </row>
    <row r="52" ht="15.75" customHeight="1">
      <c r="A52" s="104"/>
      <c r="B52" s="105"/>
      <c r="C52" s="105"/>
      <c r="D52" s="105"/>
      <c r="E52" s="105"/>
      <c r="F52" s="105"/>
      <c r="G52" s="105"/>
      <c r="H52" s="107"/>
    </row>
    <row r="53" ht="15.75" customHeight="1">
      <c r="A53" s="108" t="s">
        <v>353</v>
      </c>
      <c r="B53" s="15"/>
      <c r="C53" s="15"/>
      <c r="D53" s="15"/>
      <c r="E53" s="15"/>
      <c r="F53" s="15"/>
      <c r="G53" s="15"/>
      <c r="H53" s="18"/>
    </row>
    <row r="54" ht="15.75" customHeight="1">
      <c r="A54" s="126"/>
      <c r="B54" s="100"/>
      <c r="C54" s="100"/>
      <c r="D54" s="100"/>
      <c r="E54" s="100"/>
      <c r="F54" s="100"/>
      <c r="G54" s="100"/>
      <c r="H54" s="102"/>
    </row>
    <row r="55" ht="15.75" customHeight="1">
      <c r="A55" s="122"/>
      <c r="H55" s="124"/>
    </row>
    <row r="56" ht="15.75" customHeight="1">
      <c r="A56" s="122"/>
      <c r="H56" s="124"/>
    </row>
    <row r="57" ht="15.75" customHeight="1">
      <c r="A57" s="104"/>
      <c r="B57" s="105"/>
      <c r="C57" s="105"/>
      <c r="D57" s="105"/>
      <c r="E57" s="105"/>
      <c r="F57" s="105"/>
      <c r="G57" s="105"/>
      <c r="H57" s="10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B45:B47">
      <formula1>Metadata!$I$17:$I$40</formula1>
    </dataValidation>
    <dataValidation type="list" allowBlank="1" showErrorMessage="1" sqref="B11:B13">
      <formula1>Metadata!$B$2:$B$12</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3" t="s">
        <v>358</v>
      </c>
    </row>
    <row r="3" ht="15.75" customHeight="1"/>
    <row r="4" ht="15.75" customHeight="1">
      <c r="B4" s="9" t="s">
        <v>2</v>
      </c>
      <c r="C4" s="14" t="str">
        <f>'Diseño'!C4</f>
        <v>285 - Sistemas Operativos 2</v>
      </c>
      <c r="D4" s="15"/>
      <c r="E4" s="15"/>
      <c r="F4" s="15"/>
      <c r="G4" s="18"/>
    </row>
    <row r="5" ht="15.75" customHeight="1">
      <c r="B5" s="96" t="s">
        <v>21</v>
      </c>
      <c r="C5" s="14">
        <f>H9+H26+H43+H60+H77+H94+H111</f>
        <v>17</v>
      </c>
      <c r="D5" s="15"/>
      <c r="E5" s="15"/>
      <c r="F5" s="15"/>
      <c r="G5" s="18"/>
    </row>
    <row r="6" ht="15.75" customHeight="1">
      <c r="B6" s="96" t="s">
        <v>259</v>
      </c>
      <c r="C6" s="14">
        <f>F9+F26+F43+F60+F77+F94+F111</f>
        <v>30</v>
      </c>
      <c r="D6" s="15"/>
      <c r="E6" s="15"/>
      <c r="F6" s="15"/>
      <c r="G6" s="18"/>
    </row>
    <row r="7" ht="15.75" customHeight="1">
      <c r="B7" s="12" t="s">
        <v>360</v>
      </c>
    </row>
    <row r="8" ht="15.75" customHeight="1"/>
    <row r="9" ht="15.75" customHeight="1">
      <c r="A9" s="103" t="s">
        <v>361</v>
      </c>
      <c r="E9" s="73" t="s">
        <v>259</v>
      </c>
      <c r="F9" s="110">
        <v>5.0</v>
      </c>
      <c r="G9" s="73" t="s">
        <v>348</v>
      </c>
      <c r="H9" s="110">
        <v>3.0</v>
      </c>
    </row>
    <row r="10" ht="15.75" customHeight="1">
      <c r="A10" s="12" t="s">
        <v>362</v>
      </c>
    </row>
    <row r="11" ht="15.75" customHeight="1">
      <c r="A11" s="112" t="s">
        <v>274</v>
      </c>
      <c r="B11" s="33" t="s">
        <v>188</v>
      </c>
    </row>
    <row r="12" ht="15.75" customHeight="1">
      <c r="A12" s="112" t="s">
        <v>274</v>
      </c>
      <c r="B12" s="33" t="s">
        <v>158</v>
      </c>
    </row>
    <row r="13" ht="15.75" customHeight="1">
      <c r="A13" s="112" t="s">
        <v>274</v>
      </c>
      <c r="B13" s="33"/>
    </row>
    <row r="14" ht="15.75" customHeight="1">
      <c r="A14" s="112" t="s">
        <v>349</v>
      </c>
      <c r="B14" s="87" t="s">
        <v>363</v>
      </c>
      <c r="C14" s="134"/>
      <c r="D14" s="134"/>
      <c r="E14" s="134"/>
      <c r="F14" s="134"/>
      <c r="G14" s="134"/>
      <c r="H14" s="135"/>
    </row>
    <row r="15" ht="15.75" customHeight="1">
      <c r="A15" s="108" t="s">
        <v>351</v>
      </c>
      <c r="B15" s="15"/>
      <c r="C15" s="15"/>
      <c r="D15" s="15"/>
      <c r="E15" s="15"/>
      <c r="F15" s="15"/>
      <c r="G15" s="15"/>
      <c r="H15" s="18"/>
    </row>
    <row r="16" ht="15.75" customHeight="1">
      <c r="A16" s="109" t="s">
        <v>364</v>
      </c>
      <c r="B16" s="100"/>
      <c r="C16" s="100"/>
      <c r="D16" s="100"/>
      <c r="E16" s="100"/>
      <c r="F16" s="100"/>
      <c r="G16" s="100"/>
      <c r="H16" s="102"/>
    </row>
    <row r="17" ht="15.75" customHeight="1">
      <c r="A17" s="122"/>
      <c r="H17" s="124"/>
    </row>
    <row r="18" ht="15.75" customHeight="1">
      <c r="A18" s="104"/>
      <c r="B18" s="105"/>
      <c r="C18" s="105"/>
      <c r="D18" s="105"/>
      <c r="E18" s="105"/>
      <c r="F18" s="105"/>
      <c r="G18" s="105"/>
      <c r="H18" s="107"/>
    </row>
    <row r="19" ht="15.75" customHeight="1">
      <c r="A19" s="108" t="s">
        <v>353</v>
      </c>
      <c r="B19" s="15"/>
      <c r="C19" s="15"/>
      <c r="D19" s="15"/>
      <c r="E19" s="15"/>
      <c r="F19" s="15"/>
      <c r="G19" s="15"/>
      <c r="H19" s="18"/>
    </row>
    <row r="20" ht="15.75" customHeight="1">
      <c r="A20" s="109" t="s">
        <v>365</v>
      </c>
      <c r="B20" s="100"/>
      <c r="C20" s="100"/>
      <c r="D20" s="100"/>
      <c r="E20" s="100"/>
      <c r="F20" s="100"/>
      <c r="G20" s="100"/>
      <c r="H20" s="102"/>
    </row>
    <row r="21" ht="15.75" customHeight="1">
      <c r="A21" s="122"/>
      <c r="H21" s="124"/>
    </row>
    <row r="22" ht="15.75" customHeight="1">
      <c r="A22" s="122"/>
      <c r="H22" s="124"/>
    </row>
    <row r="23" ht="15.75" customHeight="1">
      <c r="A23" s="104"/>
      <c r="B23" s="105"/>
      <c r="C23" s="105"/>
      <c r="D23" s="105"/>
      <c r="E23" s="105"/>
      <c r="F23" s="105"/>
      <c r="G23" s="105"/>
      <c r="H23" s="107"/>
    </row>
    <row r="24" ht="15.75" customHeight="1"/>
    <row r="25" ht="15.75" customHeight="1"/>
    <row r="26" ht="15.75" customHeight="1">
      <c r="A26" s="103" t="s">
        <v>366</v>
      </c>
      <c r="E26" s="73" t="s">
        <v>259</v>
      </c>
      <c r="F26" s="110">
        <v>5.0</v>
      </c>
      <c r="G26" s="73" t="s">
        <v>348</v>
      </c>
      <c r="H26" s="110">
        <v>4.0</v>
      </c>
    </row>
    <row r="27" ht="15.75" customHeight="1">
      <c r="A27" s="119" t="s">
        <v>357</v>
      </c>
    </row>
    <row r="28" ht="15.75" customHeight="1">
      <c r="A28" s="112" t="s">
        <v>274</v>
      </c>
      <c r="B28" s="33" t="s">
        <v>51</v>
      </c>
    </row>
    <row r="29" ht="15.75" customHeight="1">
      <c r="A29" s="112" t="s">
        <v>274</v>
      </c>
      <c r="B29" s="33" t="s">
        <v>29</v>
      </c>
    </row>
    <row r="30" ht="15.75" customHeight="1">
      <c r="A30" s="112" t="s">
        <v>274</v>
      </c>
      <c r="B30" s="33"/>
    </row>
    <row r="31" ht="15.75" customHeight="1">
      <c r="A31" s="112" t="s">
        <v>349</v>
      </c>
      <c r="B31" s="53" t="s">
        <v>367</v>
      </c>
      <c r="C31" s="15"/>
      <c r="D31" s="15"/>
      <c r="E31" s="15"/>
      <c r="F31" s="15"/>
      <c r="G31" s="15"/>
      <c r="H31" s="18"/>
    </row>
    <row r="32" ht="15.75" customHeight="1">
      <c r="A32" s="108" t="s">
        <v>351</v>
      </c>
      <c r="B32" s="15"/>
      <c r="C32" s="15"/>
      <c r="D32" s="15"/>
      <c r="E32" s="15"/>
      <c r="F32" s="15"/>
      <c r="G32" s="15"/>
      <c r="H32" s="18"/>
    </row>
    <row r="33" ht="15.75" customHeight="1">
      <c r="A33" s="136" t="s">
        <v>368</v>
      </c>
      <c r="B33" s="100"/>
      <c r="C33" s="100"/>
      <c r="D33" s="100"/>
      <c r="E33" s="100"/>
      <c r="F33" s="100"/>
      <c r="G33" s="100"/>
      <c r="H33" s="102"/>
    </row>
    <row r="34" ht="15.75" customHeight="1">
      <c r="A34" s="122"/>
      <c r="H34" s="124"/>
    </row>
    <row r="35" ht="15.75" customHeight="1">
      <c r="A35" s="104"/>
      <c r="B35" s="105"/>
      <c r="C35" s="105"/>
      <c r="D35" s="105"/>
      <c r="E35" s="105"/>
      <c r="F35" s="105"/>
      <c r="G35" s="105"/>
      <c r="H35" s="107"/>
    </row>
    <row r="36" ht="15.75" customHeight="1">
      <c r="A36" s="108" t="s">
        <v>353</v>
      </c>
      <c r="B36" s="15"/>
      <c r="C36" s="15"/>
      <c r="D36" s="15"/>
      <c r="E36" s="15"/>
      <c r="F36" s="15"/>
      <c r="G36" s="15"/>
      <c r="H36" s="18"/>
    </row>
    <row r="37" ht="15.75" customHeight="1">
      <c r="A37" s="136" t="s">
        <v>371</v>
      </c>
      <c r="B37" s="100"/>
      <c r="C37" s="100"/>
      <c r="D37" s="100"/>
      <c r="E37" s="100"/>
      <c r="F37" s="100"/>
      <c r="G37" s="100"/>
      <c r="H37" s="102"/>
    </row>
    <row r="38" ht="15.75" customHeight="1">
      <c r="A38" s="122"/>
      <c r="H38" s="124"/>
    </row>
    <row r="39" ht="15.75" customHeight="1">
      <c r="A39" s="122"/>
      <c r="H39" s="124"/>
    </row>
    <row r="40" ht="15.75" customHeight="1">
      <c r="A40" s="104"/>
      <c r="B40" s="105"/>
      <c r="C40" s="105"/>
      <c r="D40" s="105"/>
      <c r="E40" s="105"/>
      <c r="F40" s="105"/>
      <c r="G40" s="105"/>
      <c r="H40" s="107"/>
    </row>
    <row r="41" ht="15.75" customHeight="1"/>
    <row r="42" ht="15.75" customHeight="1"/>
    <row r="43" ht="15.75" customHeight="1">
      <c r="A43" s="103" t="s">
        <v>373</v>
      </c>
      <c r="E43" s="73" t="s">
        <v>259</v>
      </c>
      <c r="F43" s="110">
        <v>10.0</v>
      </c>
      <c r="G43" s="73" t="s">
        <v>348</v>
      </c>
      <c r="H43" s="110">
        <v>5.0</v>
      </c>
    </row>
    <row r="44" ht="15.75" customHeight="1">
      <c r="A44" s="119" t="s">
        <v>357</v>
      </c>
    </row>
    <row r="45" ht="15.75" customHeight="1">
      <c r="A45" s="112" t="s">
        <v>274</v>
      </c>
      <c r="B45" s="33" t="s">
        <v>158</v>
      </c>
    </row>
    <row r="46" ht="15.75" customHeight="1">
      <c r="A46" s="112" t="s">
        <v>274</v>
      </c>
      <c r="B46" s="33" t="s">
        <v>51</v>
      </c>
    </row>
    <row r="47" ht="15.75" customHeight="1">
      <c r="A47" s="112" t="s">
        <v>274</v>
      </c>
      <c r="B47" s="33" t="s">
        <v>29</v>
      </c>
    </row>
    <row r="48" ht="15.75" customHeight="1">
      <c r="A48" s="112" t="s">
        <v>349</v>
      </c>
      <c r="B48" s="14" t="s">
        <v>377</v>
      </c>
      <c r="C48" s="15"/>
      <c r="D48" s="15"/>
      <c r="E48" s="15"/>
      <c r="F48" s="15"/>
      <c r="G48" s="15"/>
      <c r="H48" s="18"/>
    </row>
    <row r="49" ht="15.75" customHeight="1">
      <c r="A49" s="108" t="s">
        <v>351</v>
      </c>
      <c r="B49" s="15"/>
      <c r="C49" s="15"/>
      <c r="D49" s="15"/>
      <c r="E49" s="15"/>
      <c r="F49" s="15"/>
      <c r="G49" s="15"/>
      <c r="H49" s="18"/>
    </row>
    <row r="50" ht="15.75" customHeight="1">
      <c r="A50" s="109" t="s">
        <v>381</v>
      </c>
      <c r="B50" s="100"/>
      <c r="C50" s="100"/>
      <c r="D50" s="100"/>
      <c r="E50" s="100"/>
      <c r="F50" s="100"/>
      <c r="G50" s="100"/>
      <c r="H50" s="102"/>
    </row>
    <row r="51" ht="15.75" customHeight="1">
      <c r="A51" s="122"/>
      <c r="H51" s="124"/>
    </row>
    <row r="52" ht="15.75" customHeight="1">
      <c r="A52" s="104"/>
      <c r="B52" s="105"/>
      <c r="C52" s="105"/>
      <c r="D52" s="105"/>
      <c r="E52" s="105"/>
      <c r="F52" s="105"/>
      <c r="G52" s="105"/>
      <c r="H52" s="107"/>
    </row>
    <row r="53" ht="15.75" customHeight="1">
      <c r="A53" s="108" t="s">
        <v>353</v>
      </c>
      <c r="B53" s="15"/>
      <c r="C53" s="15"/>
      <c r="D53" s="15"/>
      <c r="E53" s="15"/>
      <c r="F53" s="15"/>
      <c r="G53" s="15"/>
      <c r="H53" s="18"/>
    </row>
    <row r="54" ht="15.75" customHeight="1">
      <c r="A54" s="109" t="s">
        <v>384</v>
      </c>
      <c r="B54" s="100"/>
      <c r="C54" s="100"/>
      <c r="D54" s="100"/>
      <c r="E54" s="100"/>
      <c r="F54" s="100"/>
      <c r="G54" s="100"/>
      <c r="H54" s="102"/>
    </row>
    <row r="55" ht="15.75" customHeight="1">
      <c r="A55" s="122"/>
      <c r="H55" s="124"/>
    </row>
    <row r="56" ht="15.75" customHeight="1">
      <c r="A56" s="122"/>
      <c r="H56" s="124"/>
    </row>
    <row r="57" ht="15.75" customHeight="1">
      <c r="A57" s="104"/>
      <c r="B57" s="105"/>
      <c r="C57" s="105"/>
      <c r="D57" s="105"/>
      <c r="E57" s="105"/>
      <c r="F57" s="105"/>
      <c r="G57" s="105"/>
      <c r="H57" s="107"/>
    </row>
    <row r="58" ht="15.75" customHeight="1"/>
    <row r="59" ht="15.75" customHeight="1"/>
    <row r="60" ht="15.75" customHeight="1">
      <c r="A60" s="137" t="s">
        <v>390</v>
      </c>
      <c r="E60" s="138" t="s">
        <v>259</v>
      </c>
      <c r="F60" s="139">
        <v>10.0</v>
      </c>
      <c r="G60" s="138" t="s">
        <v>348</v>
      </c>
      <c r="H60" s="139">
        <v>5.0</v>
      </c>
    </row>
    <row r="61" ht="15.75" customHeight="1">
      <c r="A61" s="140" t="s">
        <v>357</v>
      </c>
      <c r="B61" s="141"/>
      <c r="C61" s="141"/>
      <c r="D61" s="141"/>
      <c r="E61" s="141"/>
      <c r="F61" s="141"/>
      <c r="G61" s="141"/>
      <c r="H61" s="141"/>
    </row>
    <row r="62" ht="15.75" customHeight="1">
      <c r="A62" s="142" t="s">
        <v>274</v>
      </c>
      <c r="B62" s="33" t="s">
        <v>142</v>
      </c>
    </row>
    <row r="63" ht="15.75" customHeight="1">
      <c r="A63" s="142" t="s">
        <v>274</v>
      </c>
      <c r="B63" s="33" t="s">
        <v>81</v>
      </c>
    </row>
    <row r="64" ht="15.75" customHeight="1">
      <c r="A64" s="142" t="s">
        <v>274</v>
      </c>
      <c r="B64" s="33" t="s">
        <v>158</v>
      </c>
    </row>
    <row r="65" ht="15.75" customHeight="1">
      <c r="A65" s="142" t="s">
        <v>349</v>
      </c>
      <c r="B65" s="27" t="s">
        <v>454</v>
      </c>
      <c r="C65" s="15"/>
      <c r="D65" s="15"/>
      <c r="E65" s="15"/>
      <c r="F65" s="15"/>
      <c r="G65" s="15"/>
      <c r="H65" s="18"/>
    </row>
    <row r="66" ht="15.75" customHeight="1">
      <c r="A66" s="143" t="s">
        <v>351</v>
      </c>
      <c r="B66" s="15"/>
      <c r="C66" s="15"/>
      <c r="D66" s="15"/>
      <c r="E66" s="15"/>
      <c r="F66" s="15"/>
      <c r="G66" s="15"/>
      <c r="H66" s="18"/>
    </row>
    <row r="67" ht="15.75" customHeight="1">
      <c r="A67" s="130" t="s">
        <v>471</v>
      </c>
      <c r="B67" s="100"/>
      <c r="C67" s="100"/>
      <c r="D67" s="100"/>
      <c r="E67" s="100"/>
      <c r="F67" s="100"/>
      <c r="G67" s="100"/>
      <c r="H67" s="102"/>
    </row>
    <row r="68" ht="15.75" customHeight="1">
      <c r="A68" s="122"/>
      <c r="H68" s="124"/>
    </row>
    <row r="69" ht="15.75" customHeight="1">
      <c r="A69" s="104"/>
      <c r="B69" s="105"/>
      <c r="C69" s="105"/>
      <c r="D69" s="105"/>
      <c r="E69" s="105"/>
      <c r="F69" s="105"/>
      <c r="G69" s="105"/>
      <c r="H69" s="107"/>
    </row>
    <row r="70" ht="15.75" customHeight="1">
      <c r="A70" s="143" t="s">
        <v>353</v>
      </c>
      <c r="B70" s="15"/>
      <c r="C70" s="15"/>
      <c r="D70" s="15"/>
      <c r="E70" s="15"/>
      <c r="F70" s="15"/>
      <c r="G70" s="15"/>
      <c r="H70" s="18"/>
    </row>
    <row r="71" ht="15.75" customHeight="1">
      <c r="A71" s="144" t="s">
        <v>472</v>
      </c>
      <c r="B71" s="100"/>
      <c r="C71" s="100"/>
      <c r="D71" s="100"/>
      <c r="E71" s="100"/>
      <c r="F71" s="100"/>
      <c r="G71" s="100"/>
      <c r="H71" s="102"/>
    </row>
    <row r="72" ht="15.75" customHeight="1">
      <c r="A72" s="122"/>
      <c r="H72" s="124"/>
    </row>
    <row r="73" ht="15.75" customHeight="1">
      <c r="A73" s="122"/>
      <c r="H73" s="124"/>
    </row>
    <row r="74" ht="15.75" customHeight="1">
      <c r="A74" s="104"/>
      <c r="B74" s="105"/>
      <c r="C74" s="105"/>
      <c r="D74" s="105"/>
      <c r="E74" s="105"/>
      <c r="F74" s="105"/>
      <c r="G74" s="105"/>
      <c r="H74" s="107"/>
    </row>
    <row r="75" ht="15.75" customHeight="1">
      <c r="A75" s="141"/>
      <c r="B75" s="141"/>
      <c r="C75" s="141"/>
      <c r="D75" s="141"/>
      <c r="E75" s="141"/>
      <c r="F75" s="141"/>
      <c r="G75" s="141"/>
      <c r="H75" s="141"/>
    </row>
    <row r="76" ht="15.75" customHeight="1">
      <c r="A76" s="141"/>
      <c r="B76" s="141"/>
      <c r="C76" s="141"/>
      <c r="D76" s="141"/>
      <c r="E76" s="141"/>
      <c r="F76" s="141"/>
      <c r="G76" s="141"/>
      <c r="H76" s="141"/>
    </row>
    <row r="77" ht="15.75" customHeight="1">
      <c r="A77" s="137" t="s">
        <v>473</v>
      </c>
      <c r="E77" s="138" t="s">
        <v>259</v>
      </c>
      <c r="F77" s="145"/>
      <c r="G77" s="138" t="s">
        <v>348</v>
      </c>
      <c r="H77" s="146"/>
    </row>
    <row r="78" ht="15.75" customHeight="1">
      <c r="A78" s="140" t="s">
        <v>357</v>
      </c>
      <c r="B78" s="141"/>
      <c r="C78" s="141"/>
      <c r="D78" s="141"/>
      <c r="E78" s="141"/>
      <c r="F78" s="141"/>
      <c r="G78" s="141"/>
      <c r="H78" s="141"/>
    </row>
    <row r="79" ht="15.75" customHeight="1">
      <c r="A79" s="142" t="s">
        <v>274</v>
      </c>
      <c r="B79" s="33"/>
    </row>
    <row r="80" ht="15.75" customHeight="1">
      <c r="A80" s="142" t="s">
        <v>274</v>
      </c>
      <c r="B80" s="33"/>
    </row>
    <row r="81" ht="15.75" customHeight="1">
      <c r="A81" s="142" t="s">
        <v>274</v>
      </c>
      <c r="B81" s="33"/>
    </row>
    <row r="82" ht="15.75" customHeight="1">
      <c r="A82" s="142" t="s">
        <v>349</v>
      </c>
      <c r="B82" s="53"/>
      <c r="C82" s="15"/>
      <c r="D82" s="15"/>
      <c r="E82" s="15"/>
      <c r="F82" s="15"/>
      <c r="G82" s="15"/>
      <c r="H82" s="18"/>
    </row>
    <row r="83" ht="15.75" customHeight="1">
      <c r="A83" s="143" t="s">
        <v>351</v>
      </c>
      <c r="B83" s="15"/>
      <c r="C83" s="15"/>
      <c r="D83" s="15"/>
      <c r="E83" s="15"/>
      <c r="F83" s="15"/>
      <c r="G83" s="15"/>
      <c r="H83" s="18"/>
    </row>
    <row r="84" ht="15.75" customHeight="1">
      <c r="A84" s="136"/>
      <c r="B84" s="100"/>
      <c r="C84" s="100"/>
      <c r="D84" s="100"/>
      <c r="E84" s="100"/>
      <c r="F84" s="100"/>
      <c r="G84" s="100"/>
      <c r="H84" s="102"/>
    </row>
    <row r="85" ht="15.75" customHeight="1">
      <c r="A85" s="122"/>
      <c r="H85" s="124"/>
    </row>
    <row r="86" ht="15.75" customHeight="1">
      <c r="A86" s="104"/>
      <c r="B86" s="105"/>
      <c r="C86" s="105"/>
      <c r="D86" s="105"/>
      <c r="E86" s="105"/>
      <c r="F86" s="105"/>
      <c r="G86" s="105"/>
      <c r="H86" s="107"/>
    </row>
    <row r="87" ht="15.75" customHeight="1">
      <c r="A87" s="143" t="s">
        <v>353</v>
      </c>
      <c r="B87" s="15"/>
      <c r="C87" s="15"/>
      <c r="D87" s="15"/>
      <c r="E87" s="15"/>
      <c r="F87" s="15"/>
      <c r="G87" s="15"/>
      <c r="H87" s="18"/>
    </row>
    <row r="88" ht="15.75" customHeight="1">
      <c r="A88" s="136"/>
      <c r="B88" s="100"/>
      <c r="C88" s="100"/>
      <c r="D88" s="100"/>
      <c r="E88" s="100"/>
      <c r="F88" s="100"/>
      <c r="G88" s="100"/>
      <c r="H88" s="102"/>
    </row>
    <row r="89" ht="15.75" customHeight="1">
      <c r="A89" s="122"/>
      <c r="H89" s="124"/>
    </row>
    <row r="90" ht="15.75" customHeight="1">
      <c r="A90" s="122"/>
      <c r="H90" s="124"/>
    </row>
    <row r="91" ht="15.75" customHeight="1">
      <c r="A91" s="104"/>
      <c r="B91" s="105"/>
      <c r="C91" s="105"/>
      <c r="D91" s="105"/>
      <c r="E91" s="105"/>
      <c r="F91" s="105"/>
      <c r="G91" s="105"/>
      <c r="H91" s="107"/>
    </row>
    <row r="92" ht="15.75" customHeight="1">
      <c r="A92" s="141"/>
      <c r="B92" s="141"/>
      <c r="C92" s="141"/>
      <c r="D92" s="141"/>
      <c r="E92" s="141"/>
      <c r="F92" s="141"/>
      <c r="G92" s="141"/>
      <c r="H92" s="141"/>
    </row>
    <row r="93" ht="15.75" customHeight="1">
      <c r="A93" s="141"/>
      <c r="B93" s="141"/>
      <c r="C93" s="141"/>
      <c r="D93" s="141"/>
      <c r="E93" s="141"/>
      <c r="F93" s="141"/>
      <c r="G93" s="141"/>
      <c r="H93" s="141"/>
    </row>
    <row r="94" ht="15.75" customHeight="1">
      <c r="A94" s="137" t="s">
        <v>477</v>
      </c>
      <c r="E94" s="138" t="s">
        <v>259</v>
      </c>
      <c r="F94" s="145"/>
      <c r="G94" s="138" t="s">
        <v>348</v>
      </c>
      <c r="H94" s="146"/>
    </row>
    <row r="95" ht="15.75" customHeight="1">
      <c r="A95" s="140" t="s">
        <v>357</v>
      </c>
      <c r="B95" s="141"/>
      <c r="C95" s="141"/>
      <c r="D95" s="141"/>
      <c r="E95" s="141"/>
      <c r="F95" s="141"/>
      <c r="G95" s="141"/>
      <c r="H95" s="141"/>
    </row>
    <row r="96" ht="15.75" customHeight="1">
      <c r="A96" s="142" t="s">
        <v>274</v>
      </c>
      <c r="B96" s="33"/>
    </row>
    <row r="97" ht="15.75" customHeight="1">
      <c r="A97" s="142" t="s">
        <v>274</v>
      </c>
      <c r="B97" s="33"/>
    </row>
    <row r="98" ht="15.75" customHeight="1">
      <c r="A98" s="142" t="s">
        <v>274</v>
      </c>
      <c r="B98" s="33"/>
    </row>
    <row r="99" ht="15.75" customHeight="1">
      <c r="A99" s="142" t="s">
        <v>349</v>
      </c>
      <c r="B99" s="53"/>
      <c r="C99" s="15"/>
      <c r="D99" s="15"/>
      <c r="E99" s="15"/>
      <c r="F99" s="15"/>
      <c r="G99" s="15"/>
      <c r="H99" s="18"/>
    </row>
    <row r="100" ht="15.75" customHeight="1">
      <c r="A100" s="143" t="s">
        <v>351</v>
      </c>
      <c r="B100" s="15"/>
      <c r="C100" s="15"/>
      <c r="D100" s="15"/>
      <c r="E100" s="15"/>
      <c r="F100" s="15"/>
      <c r="G100" s="15"/>
      <c r="H100" s="18"/>
    </row>
    <row r="101" ht="15.75" customHeight="1">
      <c r="A101" s="136"/>
      <c r="B101" s="100"/>
      <c r="C101" s="100"/>
      <c r="D101" s="100"/>
      <c r="E101" s="100"/>
      <c r="F101" s="100"/>
      <c r="G101" s="100"/>
      <c r="H101" s="102"/>
    </row>
    <row r="102" ht="15.75" customHeight="1">
      <c r="A102" s="122"/>
      <c r="H102" s="124"/>
    </row>
    <row r="103" ht="15.75" customHeight="1">
      <c r="A103" s="104"/>
      <c r="B103" s="105"/>
      <c r="C103" s="105"/>
      <c r="D103" s="105"/>
      <c r="E103" s="105"/>
      <c r="F103" s="105"/>
      <c r="G103" s="105"/>
      <c r="H103" s="107"/>
    </row>
    <row r="104" ht="15.75" customHeight="1">
      <c r="A104" s="143" t="s">
        <v>353</v>
      </c>
      <c r="B104" s="15"/>
      <c r="C104" s="15"/>
      <c r="D104" s="15"/>
      <c r="E104" s="15"/>
      <c r="F104" s="15"/>
      <c r="G104" s="15"/>
      <c r="H104" s="18"/>
    </row>
    <row r="105" ht="15.75" customHeight="1">
      <c r="A105" s="136"/>
      <c r="B105" s="100"/>
      <c r="C105" s="100"/>
      <c r="D105" s="100"/>
      <c r="E105" s="100"/>
      <c r="F105" s="100"/>
      <c r="G105" s="100"/>
      <c r="H105" s="102"/>
    </row>
    <row r="106" ht="15.75" customHeight="1">
      <c r="A106" s="122"/>
      <c r="H106" s="124"/>
    </row>
    <row r="107" ht="15.75" customHeight="1">
      <c r="A107" s="122"/>
      <c r="H107" s="124"/>
    </row>
    <row r="108" ht="15.75" customHeight="1">
      <c r="A108" s="104"/>
      <c r="B108" s="105"/>
      <c r="C108" s="105"/>
      <c r="D108" s="105"/>
      <c r="E108" s="105"/>
      <c r="F108" s="105"/>
      <c r="G108" s="105"/>
      <c r="H108" s="107"/>
    </row>
    <row r="109" ht="15.75" customHeight="1"/>
    <row r="110" ht="15.75" customHeight="1"/>
    <row r="111" ht="15.75" customHeight="1">
      <c r="A111" s="103" t="s">
        <v>480</v>
      </c>
      <c r="E111" s="73" t="s">
        <v>259</v>
      </c>
      <c r="F111" s="106"/>
      <c r="G111" s="73" t="s">
        <v>348</v>
      </c>
      <c r="H111" s="106"/>
    </row>
    <row r="112" ht="15.75" customHeight="1">
      <c r="A112" s="119" t="s">
        <v>357</v>
      </c>
    </row>
    <row r="113" ht="15.75" customHeight="1">
      <c r="A113" s="112" t="s">
        <v>274</v>
      </c>
      <c r="B113" s="14"/>
      <c r="C113" s="15"/>
      <c r="D113" s="15"/>
      <c r="E113" s="15"/>
      <c r="F113" s="15"/>
      <c r="G113" s="15"/>
      <c r="H113" s="18"/>
    </row>
    <row r="114" ht="15.75" customHeight="1">
      <c r="A114" s="112" t="s">
        <v>274</v>
      </c>
      <c r="B114" s="14"/>
      <c r="C114" s="15"/>
      <c r="D114" s="15"/>
      <c r="E114" s="15"/>
      <c r="F114" s="15"/>
      <c r="G114" s="15"/>
      <c r="H114" s="18"/>
    </row>
    <row r="115" ht="15.75" customHeight="1">
      <c r="A115" s="112" t="s">
        <v>274</v>
      </c>
      <c r="B115" s="14"/>
      <c r="C115" s="15"/>
      <c r="D115" s="15"/>
      <c r="E115" s="15"/>
      <c r="F115" s="15"/>
      <c r="G115" s="15"/>
      <c r="H115" s="18"/>
    </row>
    <row r="116" ht="15.75" customHeight="1">
      <c r="A116" s="112" t="s">
        <v>349</v>
      </c>
      <c r="B116" s="14"/>
      <c r="C116" s="15"/>
      <c r="D116" s="15"/>
      <c r="E116" s="15"/>
      <c r="F116" s="15"/>
      <c r="G116" s="15"/>
      <c r="H116" s="18"/>
    </row>
    <row r="117" ht="15.75" customHeight="1">
      <c r="A117" s="108" t="s">
        <v>351</v>
      </c>
      <c r="B117" s="15"/>
      <c r="C117" s="15"/>
      <c r="D117" s="15"/>
      <c r="E117" s="15"/>
      <c r="F117" s="15"/>
      <c r="G117" s="15"/>
      <c r="H117" s="18"/>
    </row>
    <row r="118" ht="15.75" customHeight="1">
      <c r="A118" s="126"/>
      <c r="B118" s="100"/>
      <c r="C118" s="100"/>
      <c r="D118" s="100"/>
      <c r="E118" s="100"/>
      <c r="F118" s="100"/>
      <c r="G118" s="100"/>
      <c r="H118" s="102"/>
    </row>
    <row r="119" ht="15.75" customHeight="1">
      <c r="A119" s="122"/>
      <c r="H119" s="124"/>
    </row>
    <row r="120" ht="15.75" customHeight="1">
      <c r="A120" s="104"/>
      <c r="B120" s="105"/>
      <c r="C120" s="105"/>
      <c r="D120" s="105"/>
      <c r="E120" s="105"/>
      <c r="F120" s="105"/>
      <c r="G120" s="105"/>
      <c r="H120" s="107"/>
    </row>
    <row r="121" ht="15.75" customHeight="1">
      <c r="A121" s="108" t="s">
        <v>353</v>
      </c>
      <c r="B121" s="15"/>
      <c r="C121" s="15"/>
      <c r="D121" s="15"/>
      <c r="E121" s="15"/>
      <c r="F121" s="15"/>
      <c r="G121" s="15"/>
      <c r="H121" s="18"/>
    </row>
    <row r="122" ht="15.75" customHeight="1">
      <c r="A122" s="126"/>
      <c r="B122" s="100"/>
      <c r="C122" s="100"/>
      <c r="D122" s="100"/>
      <c r="E122" s="100"/>
      <c r="F122" s="100"/>
      <c r="G122" s="100"/>
      <c r="H122" s="102"/>
    </row>
    <row r="123" ht="15.75" customHeight="1">
      <c r="A123" s="122"/>
      <c r="H123" s="124"/>
    </row>
    <row r="124" ht="15.75" customHeight="1">
      <c r="A124" s="122"/>
      <c r="H124" s="124"/>
    </row>
    <row r="125" ht="15.75" customHeight="1">
      <c r="A125" s="104"/>
      <c r="B125" s="105"/>
      <c r="C125" s="105"/>
      <c r="D125" s="105"/>
      <c r="E125" s="105"/>
      <c r="F125" s="105"/>
      <c r="G125" s="105"/>
      <c r="H125" s="10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3:B115">
      <formula1>Metadata!$I$17:$I$40</formula1>
    </dataValidation>
    <dataValidation type="list" allowBlank="1" showErrorMessage="1" sqref="B11:B13 B28:B30 B45:B47 B62:B64 B79:B81 B96:B98">
      <formula1>Metadata!$B$2:$B$12</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3" t="s">
        <v>129</v>
      </c>
    </row>
    <row r="3" ht="15.75" customHeight="1"/>
    <row r="4" ht="15.75" customHeight="1">
      <c r="B4" s="9" t="s">
        <v>2</v>
      </c>
      <c r="C4" s="14" t="str">
        <f>'Diseño'!C4</f>
        <v>285 - Sistemas Operativos 2</v>
      </c>
      <c r="D4" s="15"/>
      <c r="E4" s="15"/>
      <c r="F4" s="15"/>
      <c r="G4" s="18"/>
    </row>
    <row r="5" ht="15.75" customHeight="1">
      <c r="B5" s="96" t="s">
        <v>21</v>
      </c>
      <c r="C5" s="14">
        <f>H9+H26+H43+H60+H77+H94+H111+H128</f>
        <v>7</v>
      </c>
      <c r="D5" s="15"/>
      <c r="E5" s="15"/>
      <c r="F5" s="15"/>
      <c r="G5" s="18"/>
    </row>
    <row r="6" ht="15.75" customHeight="1">
      <c r="B6" s="96" t="s">
        <v>259</v>
      </c>
      <c r="C6" s="14">
        <f>F9+F26+F43+F60+F77+F94+F111+F128</f>
        <v>10</v>
      </c>
      <c r="D6" s="15"/>
      <c r="E6" s="15"/>
      <c r="F6" s="15"/>
      <c r="G6" s="18"/>
    </row>
    <row r="7" ht="15.75" customHeight="1">
      <c r="B7" s="12" t="s">
        <v>405</v>
      </c>
    </row>
    <row r="8" ht="15.75" customHeight="1"/>
    <row r="9" ht="15.75" customHeight="1">
      <c r="A9" s="103" t="s">
        <v>409</v>
      </c>
      <c r="E9" s="73" t="s">
        <v>259</v>
      </c>
      <c r="F9" s="110">
        <v>3.0</v>
      </c>
      <c r="G9" s="73" t="s">
        <v>348</v>
      </c>
      <c r="H9" s="110">
        <v>2.0</v>
      </c>
    </row>
    <row r="10" ht="15.75" customHeight="1">
      <c r="A10" s="12" t="s">
        <v>416</v>
      </c>
    </row>
    <row r="11" ht="15.75" customHeight="1">
      <c r="A11" s="112" t="s">
        <v>274</v>
      </c>
      <c r="B11" s="14"/>
      <c r="C11" s="15"/>
      <c r="D11" s="15"/>
      <c r="E11" s="15"/>
      <c r="F11" s="15"/>
      <c r="G11" s="15"/>
      <c r="H11" s="18"/>
    </row>
    <row r="12" ht="15.75" customHeight="1">
      <c r="A12" s="112" t="s">
        <v>274</v>
      </c>
      <c r="B12" s="14"/>
      <c r="C12" s="15"/>
      <c r="D12" s="15"/>
      <c r="E12" s="15"/>
      <c r="F12" s="15"/>
      <c r="G12" s="15"/>
      <c r="H12" s="18"/>
    </row>
    <row r="13" ht="15.75" customHeight="1">
      <c r="A13" s="112" t="s">
        <v>274</v>
      </c>
      <c r="B13" s="14"/>
      <c r="C13" s="15"/>
      <c r="D13" s="15"/>
      <c r="E13" s="15"/>
      <c r="F13" s="15"/>
      <c r="G13" s="15"/>
      <c r="H13" s="18"/>
    </row>
    <row r="14" ht="15.75" customHeight="1">
      <c r="A14" s="112" t="s">
        <v>349</v>
      </c>
      <c r="B14" s="87" t="s">
        <v>466</v>
      </c>
      <c r="C14" s="131"/>
      <c r="D14" s="131"/>
      <c r="E14" s="131"/>
      <c r="F14" s="131"/>
      <c r="G14" s="131"/>
      <c r="H14" s="132"/>
    </row>
    <row r="15" ht="15.75" customHeight="1">
      <c r="A15" s="108" t="s">
        <v>351</v>
      </c>
      <c r="B15" s="15"/>
      <c r="C15" s="15"/>
      <c r="D15" s="15"/>
      <c r="E15" s="15"/>
      <c r="F15" s="15"/>
      <c r="G15" s="15"/>
      <c r="H15" s="18"/>
    </row>
    <row r="16" ht="15.75" customHeight="1">
      <c r="A16" s="109" t="s">
        <v>364</v>
      </c>
      <c r="B16" s="100"/>
      <c r="C16" s="100"/>
      <c r="D16" s="100"/>
      <c r="E16" s="100"/>
      <c r="F16" s="100"/>
      <c r="G16" s="100"/>
      <c r="H16" s="102"/>
    </row>
    <row r="17" ht="15.75" customHeight="1">
      <c r="A17" s="122"/>
      <c r="H17" s="124"/>
    </row>
    <row r="18" ht="15.75" customHeight="1">
      <c r="A18" s="104"/>
      <c r="B18" s="105"/>
      <c r="C18" s="105"/>
      <c r="D18" s="105"/>
      <c r="E18" s="105"/>
      <c r="F18" s="105"/>
      <c r="G18" s="105"/>
      <c r="H18" s="107"/>
    </row>
    <row r="19" ht="15.75" customHeight="1">
      <c r="A19" s="108" t="s">
        <v>474</v>
      </c>
      <c r="B19" s="15"/>
      <c r="C19" s="15"/>
      <c r="D19" s="15"/>
      <c r="E19" s="15"/>
      <c r="F19" s="15"/>
      <c r="G19" s="15"/>
      <c r="H19" s="18"/>
    </row>
    <row r="20" ht="15.75" customHeight="1">
      <c r="A20" s="147" t="s">
        <v>475</v>
      </c>
      <c r="B20" s="100"/>
      <c r="C20" s="100"/>
      <c r="D20" s="100"/>
      <c r="E20" s="100"/>
      <c r="F20" s="100"/>
      <c r="G20" s="100"/>
      <c r="H20" s="102"/>
    </row>
    <row r="21" ht="15.75" customHeight="1">
      <c r="A21" s="122"/>
      <c r="H21" s="124"/>
    </row>
    <row r="22" ht="15.75" customHeight="1">
      <c r="A22" s="122"/>
      <c r="H22" s="124"/>
    </row>
    <row r="23" ht="15.75" customHeight="1">
      <c r="A23" s="104"/>
      <c r="B23" s="105"/>
      <c r="C23" s="105"/>
      <c r="D23" s="105"/>
      <c r="E23" s="105"/>
      <c r="F23" s="105"/>
      <c r="G23" s="105"/>
      <c r="H23" s="107"/>
    </row>
    <row r="24" ht="15.75" customHeight="1">
      <c r="A24" s="103"/>
      <c r="B24" s="103"/>
      <c r="C24" s="103"/>
      <c r="D24" s="103"/>
      <c r="E24" s="73"/>
      <c r="F24" s="148"/>
      <c r="G24" s="73"/>
      <c r="H24" s="148"/>
    </row>
    <row r="25" ht="15.75" customHeight="1">
      <c r="A25" s="103"/>
      <c r="B25" s="103"/>
      <c r="C25" s="103"/>
      <c r="D25" s="103"/>
      <c r="E25" s="73"/>
      <c r="F25" s="148"/>
      <c r="G25" s="73"/>
      <c r="H25" s="148"/>
    </row>
    <row r="26" ht="15.75" customHeight="1">
      <c r="A26" s="103" t="s">
        <v>476</v>
      </c>
      <c r="E26" s="73" t="s">
        <v>259</v>
      </c>
      <c r="F26" s="110">
        <v>3.0</v>
      </c>
      <c r="G26" s="73" t="s">
        <v>348</v>
      </c>
      <c r="H26" s="110">
        <v>2.0</v>
      </c>
    </row>
    <row r="27" ht="15.75" customHeight="1">
      <c r="A27" s="12" t="s">
        <v>362</v>
      </c>
    </row>
    <row r="28" ht="15.75" customHeight="1">
      <c r="A28" s="112" t="s">
        <v>274</v>
      </c>
      <c r="B28" s="14"/>
      <c r="C28" s="15"/>
      <c r="D28" s="15"/>
      <c r="E28" s="15"/>
      <c r="F28" s="15"/>
      <c r="G28" s="15"/>
      <c r="H28" s="18"/>
    </row>
    <row r="29" ht="15.75" customHeight="1">
      <c r="A29" s="112" t="s">
        <v>274</v>
      </c>
      <c r="B29" s="14"/>
      <c r="C29" s="15"/>
      <c r="D29" s="15"/>
      <c r="E29" s="15"/>
      <c r="F29" s="15"/>
      <c r="G29" s="15"/>
      <c r="H29" s="18"/>
    </row>
    <row r="30" ht="15.75" customHeight="1">
      <c r="A30" s="112" t="s">
        <v>274</v>
      </c>
      <c r="B30" s="14"/>
      <c r="C30" s="15"/>
      <c r="D30" s="15"/>
      <c r="E30" s="15"/>
      <c r="F30" s="15"/>
      <c r="G30" s="15"/>
      <c r="H30" s="18"/>
    </row>
    <row r="31" ht="15.75" customHeight="1">
      <c r="A31" s="112" t="s">
        <v>349</v>
      </c>
      <c r="B31" s="87" t="s">
        <v>478</v>
      </c>
      <c r="C31" s="131"/>
      <c r="D31" s="131"/>
      <c r="E31" s="131"/>
      <c r="F31" s="131"/>
      <c r="G31" s="131"/>
      <c r="H31" s="132"/>
    </row>
    <row r="32" ht="15.75" customHeight="1">
      <c r="A32" s="108" t="s">
        <v>351</v>
      </c>
      <c r="B32" s="15"/>
      <c r="C32" s="15"/>
      <c r="D32" s="15"/>
      <c r="E32" s="15"/>
      <c r="F32" s="15"/>
      <c r="G32" s="15"/>
      <c r="H32" s="18"/>
    </row>
    <row r="33" ht="15.75" customHeight="1">
      <c r="A33" s="109" t="s">
        <v>479</v>
      </c>
      <c r="B33" s="100"/>
      <c r="C33" s="100"/>
      <c r="D33" s="100"/>
      <c r="E33" s="100"/>
      <c r="F33" s="100"/>
      <c r="G33" s="100"/>
      <c r="H33" s="102"/>
    </row>
    <row r="34" ht="15.75" customHeight="1">
      <c r="A34" s="122"/>
      <c r="H34" s="124"/>
    </row>
    <row r="35" ht="15.75" customHeight="1">
      <c r="A35" s="104"/>
      <c r="B35" s="105"/>
      <c r="C35" s="105"/>
      <c r="D35" s="105"/>
      <c r="E35" s="105"/>
      <c r="F35" s="105"/>
      <c r="G35" s="105"/>
      <c r="H35" s="107"/>
    </row>
    <row r="36" ht="15.75" customHeight="1">
      <c r="A36" s="108" t="s">
        <v>353</v>
      </c>
      <c r="B36" s="15"/>
      <c r="C36" s="15"/>
      <c r="D36" s="15"/>
      <c r="E36" s="15"/>
      <c r="F36" s="15"/>
      <c r="G36" s="15"/>
      <c r="H36" s="18"/>
    </row>
    <row r="37" ht="15.75" customHeight="1">
      <c r="A37" s="109" t="s">
        <v>481</v>
      </c>
      <c r="B37" s="100"/>
      <c r="C37" s="100"/>
      <c r="D37" s="100"/>
      <c r="E37" s="100"/>
      <c r="F37" s="100"/>
      <c r="G37" s="100"/>
      <c r="H37" s="102"/>
    </row>
    <row r="38" ht="15.75" customHeight="1">
      <c r="A38" s="122"/>
      <c r="H38" s="124"/>
    </row>
    <row r="39" ht="15.75" customHeight="1">
      <c r="A39" s="122"/>
      <c r="H39" s="124"/>
    </row>
    <row r="40" ht="15.75" customHeight="1">
      <c r="A40" s="104"/>
      <c r="B40" s="105"/>
      <c r="C40" s="105"/>
      <c r="D40" s="105"/>
      <c r="E40" s="105"/>
      <c r="F40" s="105"/>
      <c r="G40" s="105"/>
      <c r="H40" s="107"/>
    </row>
    <row r="41" ht="15.75" customHeight="1"/>
    <row r="42" ht="15.75" customHeight="1"/>
    <row r="43" ht="15.75" customHeight="1">
      <c r="A43" s="103" t="s">
        <v>482</v>
      </c>
      <c r="E43" s="73" t="s">
        <v>259</v>
      </c>
      <c r="F43" s="110">
        <v>4.0</v>
      </c>
      <c r="G43" s="73" t="s">
        <v>348</v>
      </c>
      <c r="H43" s="110">
        <v>3.0</v>
      </c>
    </row>
    <row r="44" ht="15.75" customHeight="1">
      <c r="A44" s="12" t="s">
        <v>362</v>
      </c>
    </row>
    <row r="45" ht="15.75" customHeight="1">
      <c r="A45" s="112" t="s">
        <v>274</v>
      </c>
      <c r="B45" s="14"/>
      <c r="C45" s="15"/>
      <c r="D45" s="15"/>
      <c r="E45" s="15"/>
      <c r="F45" s="15"/>
      <c r="G45" s="15"/>
      <c r="H45" s="18"/>
    </row>
    <row r="46" ht="15.75" customHeight="1">
      <c r="A46" s="112" t="s">
        <v>274</v>
      </c>
      <c r="B46" s="14"/>
      <c r="C46" s="15"/>
      <c r="D46" s="15"/>
      <c r="E46" s="15"/>
      <c r="F46" s="15"/>
      <c r="G46" s="15"/>
      <c r="H46" s="18"/>
    </row>
    <row r="47" ht="15.75" customHeight="1">
      <c r="A47" s="112" t="s">
        <v>274</v>
      </c>
      <c r="B47" s="14"/>
      <c r="C47" s="15"/>
      <c r="D47" s="15"/>
      <c r="E47" s="15"/>
      <c r="F47" s="15"/>
      <c r="G47" s="15"/>
      <c r="H47" s="18"/>
    </row>
    <row r="48" ht="15.75" customHeight="1">
      <c r="A48" s="112" t="s">
        <v>349</v>
      </c>
      <c r="B48" s="87" t="s">
        <v>483</v>
      </c>
      <c r="C48" s="131"/>
      <c r="D48" s="131"/>
      <c r="E48" s="131"/>
      <c r="F48" s="131"/>
      <c r="G48" s="131"/>
      <c r="H48" s="132"/>
    </row>
    <row r="49" ht="15.75" customHeight="1">
      <c r="A49" s="108" t="s">
        <v>351</v>
      </c>
      <c r="B49" s="15"/>
      <c r="C49" s="15"/>
      <c r="D49" s="15"/>
      <c r="E49" s="15"/>
      <c r="F49" s="15"/>
      <c r="G49" s="15"/>
      <c r="H49" s="18"/>
    </row>
    <row r="50" ht="15.75" customHeight="1">
      <c r="A50" s="109" t="s">
        <v>484</v>
      </c>
      <c r="B50" s="100"/>
      <c r="C50" s="100"/>
      <c r="D50" s="100"/>
      <c r="E50" s="100"/>
      <c r="F50" s="100"/>
      <c r="G50" s="100"/>
      <c r="H50" s="102"/>
    </row>
    <row r="51" ht="15.75" customHeight="1">
      <c r="A51" s="122"/>
      <c r="H51" s="124"/>
    </row>
    <row r="52" ht="15.75" customHeight="1">
      <c r="A52" s="104"/>
      <c r="B52" s="105"/>
      <c r="C52" s="105"/>
      <c r="D52" s="105"/>
      <c r="E52" s="105"/>
      <c r="F52" s="105"/>
      <c r="G52" s="105"/>
      <c r="H52" s="107"/>
    </row>
    <row r="53" ht="15.75" customHeight="1">
      <c r="A53" s="108" t="s">
        <v>353</v>
      </c>
      <c r="B53" s="15"/>
      <c r="C53" s="15"/>
      <c r="D53" s="15"/>
      <c r="E53" s="15"/>
      <c r="F53" s="15"/>
      <c r="G53" s="15"/>
      <c r="H53" s="18"/>
    </row>
    <row r="54" ht="15.75" customHeight="1">
      <c r="A54" s="109" t="s">
        <v>485</v>
      </c>
      <c r="B54" s="100"/>
      <c r="C54" s="100"/>
      <c r="D54" s="100"/>
      <c r="E54" s="100"/>
      <c r="F54" s="100"/>
      <c r="G54" s="100"/>
      <c r="H54" s="102"/>
    </row>
    <row r="55" ht="15.75" customHeight="1">
      <c r="A55" s="122"/>
      <c r="H55" s="124"/>
    </row>
    <row r="56" ht="15.75" customHeight="1">
      <c r="A56" s="122"/>
      <c r="H56" s="124"/>
    </row>
    <row r="57" ht="15.75" customHeight="1">
      <c r="A57" s="104"/>
      <c r="B57" s="105"/>
      <c r="C57" s="105"/>
      <c r="D57" s="105"/>
      <c r="E57" s="105"/>
      <c r="F57" s="105"/>
      <c r="G57" s="105"/>
      <c r="H57" s="107"/>
    </row>
    <row r="58" ht="15.75" customHeight="1"/>
    <row r="59" ht="15.75" customHeight="1"/>
    <row r="60" ht="15.75" customHeight="1">
      <c r="A60" s="103" t="s">
        <v>486</v>
      </c>
      <c r="E60" s="73" t="s">
        <v>259</v>
      </c>
      <c r="F60" s="106"/>
      <c r="G60" s="73" t="s">
        <v>348</v>
      </c>
      <c r="H60" s="106"/>
    </row>
    <row r="61" ht="15.75" customHeight="1">
      <c r="A61" s="119" t="s">
        <v>357</v>
      </c>
    </row>
    <row r="62" ht="15.75" customHeight="1">
      <c r="A62" s="112" t="s">
        <v>274</v>
      </c>
      <c r="B62" s="14"/>
      <c r="C62" s="15"/>
      <c r="D62" s="15"/>
      <c r="E62" s="15"/>
      <c r="F62" s="15"/>
      <c r="G62" s="15"/>
      <c r="H62" s="18"/>
    </row>
    <row r="63" ht="15.75" customHeight="1">
      <c r="A63" s="112" t="s">
        <v>274</v>
      </c>
      <c r="B63" s="14"/>
      <c r="C63" s="15"/>
      <c r="D63" s="15"/>
      <c r="E63" s="15"/>
      <c r="F63" s="15"/>
      <c r="G63" s="15"/>
      <c r="H63" s="18"/>
    </row>
    <row r="64" ht="15.75" customHeight="1">
      <c r="A64" s="112" t="s">
        <v>274</v>
      </c>
      <c r="B64" s="14"/>
      <c r="C64" s="15"/>
      <c r="D64" s="15"/>
      <c r="E64" s="15"/>
      <c r="F64" s="15"/>
      <c r="G64" s="15"/>
      <c r="H64" s="18"/>
    </row>
    <row r="65" ht="15.75" customHeight="1">
      <c r="A65" s="112" t="s">
        <v>349</v>
      </c>
      <c r="B65" s="14"/>
      <c r="C65" s="15"/>
      <c r="D65" s="15"/>
      <c r="E65" s="15"/>
      <c r="F65" s="15"/>
      <c r="G65" s="15"/>
      <c r="H65" s="18"/>
    </row>
    <row r="66" ht="15.75" customHeight="1">
      <c r="A66" s="108" t="s">
        <v>351</v>
      </c>
      <c r="B66" s="15"/>
      <c r="C66" s="15"/>
      <c r="D66" s="15"/>
      <c r="E66" s="15"/>
      <c r="F66" s="15"/>
      <c r="G66" s="15"/>
      <c r="H66" s="18"/>
    </row>
    <row r="67" ht="15.75" customHeight="1">
      <c r="A67" s="126"/>
      <c r="B67" s="100"/>
      <c r="C67" s="100"/>
      <c r="D67" s="100"/>
      <c r="E67" s="100"/>
      <c r="F67" s="100"/>
      <c r="G67" s="100"/>
      <c r="H67" s="102"/>
    </row>
    <row r="68" ht="15.75" customHeight="1">
      <c r="A68" s="122"/>
      <c r="H68" s="124"/>
    </row>
    <row r="69" ht="15.75" customHeight="1">
      <c r="A69" s="104"/>
      <c r="B69" s="105"/>
      <c r="C69" s="105"/>
      <c r="D69" s="105"/>
      <c r="E69" s="105"/>
      <c r="F69" s="105"/>
      <c r="G69" s="105"/>
      <c r="H69" s="107"/>
    </row>
    <row r="70" ht="15.75" customHeight="1">
      <c r="A70" s="108" t="s">
        <v>353</v>
      </c>
      <c r="B70" s="15"/>
      <c r="C70" s="15"/>
      <c r="D70" s="15"/>
      <c r="E70" s="15"/>
      <c r="F70" s="15"/>
      <c r="G70" s="15"/>
      <c r="H70" s="18"/>
    </row>
    <row r="71" ht="15.75" customHeight="1">
      <c r="A71" s="126"/>
      <c r="B71" s="100"/>
      <c r="C71" s="100"/>
      <c r="D71" s="100"/>
      <c r="E71" s="100"/>
      <c r="F71" s="100"/>
      <c r="G71" s="100"/>
      <c r="H71" s="102"/>
    </row>
    <row r="72" ht="15.75" customHeight="1">
      <c r="A72" s="122"/>
      <c r="H72" s="124"/>
    </row>
    <row r="73" ht="15.75" customHeight="1">
      <c r="A73" s="122"/>
      <c r="H73" s="124"/>
    </row>
    <row r="74" ht="15.75" customHeight="1">
      <c r="A74" s="104"/>
      <c r="B74" s="105"/>
      <c r="C74" s="105"/>
      <c r="D74" s="105"/>
      <c r="E74" s="105"/>
      <c r="F74" s="105"/>
      <c r="G74" s="105"/>
      <c r="H74" s="107"/>
    </row>
    <row r="75" ht="15.75" customHeight="1"/>
    <row r="76" ht="15.75" customHeight="1"/>
    <row r="77" ht="15.75" customHeight="1">
      <c r="A77" s="103" t="s">
        <v>487</v>
      </c>
      <c r="E77" s="73" t="s">
        <v>259</v>
      </c>
      <c r="F77" s="106"/>
      <c r="G77" s="73" t="s">
        <v>348</v>
      </c>
      <c r="H77" s="106"/>
    </row>
    <row r="78" ht="15.75" customHeight="1">
      <c r="A78" s="119" t="s">
        <v>357</v>
      </c>
    </row>
    <row r="79" ht="15.75" customHeight="1">
      <c r="A79" s="112" t="s">
        <v>274</v>
      </c>
      <c r="B79" s="14"/>
      <c r="C79" s="15"/>
      <c r="D79" s="15"/>
      <c r="E79" s="15"/>
      <c r="F79" s="15"/>
      <c r="G79" s="15"/>
      <c r="H79" s="18"/>
    </row>
    <row r="80" ht="15.75" customHeight="1">
      <c r="A80" s="112" t="s">
        <v>274</v>
      </c>
      <c r="B80" s="14"/>
      <c r="C80" s="15"/>
      <c r="D80" s="15"/>
      <c r="E80" s="15"/>
      <c r="F80" s="15"/>
      <c r="G80" s="15"/>
      <c r="H80" s="18"/>
    </row>
    <row r="81" ht="15.75" customHeight="1">
      <c r="A81" s="112" t="s">
        <v>274</v>
      </c>
      <c r="B81" s="14"/>
      <c r="C81" s="15"/>
      <c r="D81" s="15"/>
      <c r="E81" s="15"/>
      <c r="F81" s="15"/>
      <c r="G81" s="15"/>
      <c r="H81" s="18"/>
    </row>
    <row r="82" ht="15.75" customHeight="1">
      <c r="A82" s="112" t="s">
        <v>349</v>
      </c>
      <c r="B82" s="14"/>
      <c r="C82" s="15"/>
      <c r="D82" s="15"/>
      <c r="E82" s="15"/>
      <c r="F82" s="15"/>
      <c r="G82" s="15"/>
      <c r="H82" s="18"/>
    </row>
    <row r="83" ht="15.75" customHeight="1">
      <c r="A83" s="108" t="s">
        <v>351</v>
      </c>
      <c r="B83" s="15"/>
      <c r="C83" s="15"/>
      <c r="D83" s="15"/>
      <c r="E83" s="15"/>
      <c r="F83" s="15"/>
      <c r="G83" s="15"/>
      <c r="H83" s="18"/>
    </row>
    <row r="84" ht="15.75" customHeight="1">
      <c r="A84" s="126"/>
      <c r="B84" s="100"/>
      <c r="C84" s="100"/>
      <c r="D84" s="100"/>
      <c r="E84" s="100"/>
      <c r="F84" s="100"/>
      <c r="G84" s="100"/>
      <c r="H84" s="102"/>
    </row>
    <row r="85" ht="15.75" customHeight="1">
      <c r="A85" s="122"/>
      <c r="H85" s="124"/>
    </row>
    <row r="86" ht="15.75" customHeight="1">
      <c r="A86" s="104"/>
      <c r="B86" s="105"/>
      <c r="C86" s="105"/>
      <c r="D86" s="105"/>
      <c r="E86" s="105"/>
      <c r="F86" s="105"/>
      <c r="G86" s="105"/>
      <c r="H86" s="107"/>
    </row>
    <row r="87" ht="15.75" customHeight="1">
      <c r="A87" s="108" t="s">
        <v>353</v>
      </c>
      <c r="B87" s="15"/>
      <c r="C87" s="15"/>
      <c r="D87" s="15"/>
      <c r="E87" s="15"/>
      <c r="F87" s="15"/>
      <c r="G87" s="15"/>
      <c r="H87" s="18"/>
    </row>
    <row r="88" ht="15.75" customHeight="1">
      <c r="A88" s="126"/>
      <c r="B88" s="100"/>
      <c r="C88" s="100"/>
      <c r="D88" s="100"/>
      <c r="E88" s="100"/>
      <c r="F88" s="100"/>
      <c r="G88" s="100"/>
      <c r="H88" s="102"/>
    </row>
    <row r="89" ht="15.75" customHeight="1">
      <c r="A89" s="122"/>
      <c r="H89" s="124"/>
    </row>
    <row r="90" ht="15.75" customHeight="1">
      <c r="A90" s="122"/>
      <c r="H90" s="124"/>
    </row>
    <row r="91" ht="15.75" customHeight="1">
      <c r="A91" s="104"/>
      <c r="B91" s="105"/>
      <c r="C91" s="105"/>
      <c r="D91" s="105"/>
      <c r="E91" s="105"/>
      <c r="F91" s="105"/>
      <c r="G91" s="105"/>
      <c r="H91" s="107"/>
    </row>
    <row r="92" ht="15.75" customHeight="1"/>
    <row r="93" ht="15.75" customHeight="1"/>
    <row r="94" ht="15.75" customHeight="1">
      <c r="A94" s="103" t="s">
        <v>488</v>
      </c>
      <c r="E94" s="73" t="s">
        <v>259</v>
      </c>
      <c r="F94" s="106"/>
      <c r="G94" s="73" t="s">
        <v>348</v>
      </c>
      <c r="H94" s="106"/>
    </row>
    <row r="95" ht="15.75" customHeight="1">
      <c r="A95" s="119" t="s">
        <v>357</v>
      </c>
    </row>
    <row r="96" ht="15.75" customHeight="1">
      <c r="A96" s="112" t="s">
        <v>274</v>
      </c>
      <c r="B96" s="14"/>
      <c r="C96" s="15"/>
      <c r="D96" s="15"/>
      <c r="E96" s="15"/>
      <c r="F96" s="15"/>
      <c r="G96" s="15"/>
      <c r="H96" s="18"/>
    </row>
    <row r="97" ht="15.75" customHeight="1">
      <c r="A97" s="112" t="s">
        <v>274</v>
      </c>
      <c r="B97" s="14"/>
      <c r="C97" s="15"/>
      <c r="D97" s="15"/>
      <c r="E97" s="15"/>
      <c r="F97" s="15"/>
      <c r="G97" s="15"/>
      <c r="H97" s="18"/>
    </row>
    <row r="98" ht="15.75" customHeight="1">
      <c r="A98" s="112" t="s">
        <v>274</v>
      </c>
      <c r="B98" s="14"/>
      <c r="C98" s="15"/>
      <c r="D98" s="15"/>
      <c r="E98" s="15"/>
      <c r="F98" s="15"/>
      <c r="G98" s="15"/>
      <c r="H98" s="18"/>
    </row>
    <row r="99" ht="15.75" customHeight="1">
      <c r="A99" s="112" t="s">
        <v>349</v>
      </c>
      <c r="B99" s="14"/>
      <c r="C99" s="15"/>
      <c r="D99" s="15"/>
      <c r="E99" s="15"/>
      <c r="F99" s="15"/>
      <c r="G99" s="15"/>
      <c r="H99" s="18"/>
    </row>
    <row r="100" ht="15.75" customHeight="1">
      <c r="A100" s="108" t="s">
        <v>351</v>
      </c>
      <c r="B100" s="15"/>
      <c r="C100" s="15"/>
      <c r="D100" s="15"/>
      <c r="E100" s="15"/>
      <c r="F100" s="15"/>
      <c r="G100" s="15"/>
      <c r="H100" s="18"/>
    </row>
    <row r="101" ht="15.75" customHeight="1">
      <c r="A101" s="126"/>
      <c r="B101" s="100"/>
      <c r="C101" s="100"/>
      <c r="D101" s="100"/>
      <c r="E101" s="100"/>
      <c r="F101" s="100"/>
      <c r="G101" s="100"/>
      <c r="H101" s="102"/>
    </row>
    <row r="102" ht="15.75" customHeight="1">
      <c r="A102" s="122"/>
      <c r="H102" s="124"/>
    </row>
    <row r="103" ht="15.75" customHeight="1">
      <c r="A103" s="104"/>
      <c r="B103" s="105"/>
      <c r="C103" s="105"/>
      <c r="D103" s="105"/>
      <c r="E103" s="105"/>
      <c r="F103" s="105"/>
      <c r="G103" s="105"/>
      <c r="H103" s="107"/>
    </row>
    <row r="104" ht="15.75" customHeight="1">
      <c r="A104" s="108" t="s">
        <v>353</v>
      </c>
      <c r="B104" s="15"/>
      <c r="C104" s="15"/>
      <c r="D104" s="15"/>
      <c r="E104" s="15"/>
      <c r="F104" s="15"/>
      <c r="G104" s="15"/>
      <c r="H104" s="18"/>
    </row>
    <row r="105" ht="15.75" customHeight="1">
      <c r="A105" s="126"/>
      <c r="B105" s="100"/>
      <c r="C105" s="100"/>
      <c r="D105" s="100"/>
      <c r="E105" s="100"/>
      <c r="F105" s="100"/>
      <c r="G105" s="100"/>
      <c r="H105" s="102"/>
    </row>
    <row r="106" ht="15.75" customHeight="1">
      <c r="A106" s="122"/>
      <c r="H106" s="124"/>
    </row>
    <row r="107" ht="15.75" customHeight="1">
      <c r="A107" s="122"/>
      <c r="H107" s="124"/>
    </row>
    <row r="108" ht="15.75" customHeight="1">
      <c r="A108" s="104"/>
      <c r="B108" s="105"/>
      <c r="C108" s="105"/>
      <c r="D108" s="105"/>
      <c r="E108" s="105"/>
      <c r="F108" s="105"/>
      <c r="G108" s="105"/>
      <c r="H108" s="107"/>
    </row>
    <row r="109" ht="15.75" customHeight="1"/>
    <row r="110" ht="15.75" customHeight="1"/>
    <row r="111" ht="15.75" customHeight="1">
      <c r="A111" s="103" t="s">
        <v>489</v>
      </c>
      <c r="E111" s="73" t="s">
        <v>259</v>
      </c>
      <c r="F111" s="106"/>
      <c r="G111" s="73" t="s">
        <v>348</v>
      </c>
      <c r="H111" s="106"/>
    </row>
    <row r="112" ht="15.75" customHeight="1">
      <c r="A112" s="119" t="s">
        <v>357</v>
      </c>
    </row>
    <row r="113" ht="15.75" customHeight="1">
      <c r="A113" s="112" t="s">
        <v>274</v>
      </c>
      <c r="B113" s="14"/>
      <c r="C113" s="15"/>
      <c r="D113" s="15"/>
      <c r="E113" s="15"/>
      <c r="F113" s="15"/>
      <c r="G113" s="15"/>
      <c r="H113" s="18"/>
    </row>
    <row r="114" ht="15.75" customHeight="1">
      <c r="A114" s="112" t="s">
        <v>274</v>
      </c>
      <c r="B114" s="14"/>
      <c r="C114" s="15"/>
      <c r="D114" s="15"/>
      <c r="E114" s="15"/>
      <c r="F114" s="15"/>
      <c r="G114" s="15"/>
      <c r="H114" s="18"/>
    </row>
    <row r="115" ht="15.75" customHeight="1">
      <c r="A115" s="112" t="s">
        <v>274</v>
      </c>
      <c r="B115" s="14"/>
      <c r="C115" s="15"/>
      <c r="D115" s="15"/>
      <c r="E115" s="15"/>
      <c r="F115" s="15"/>
      <c r="G115" s="15"/>
      <c r="H115" s="18"/>
    </row>
    <row r="116" ht="15.75" customHeight="1">
      <c r="A116" s="112" t="s">
        <v>349</v>
      </c>
      <c r="B116" s="14"/>
      <c r="C116" s="15"/>
      <c r="D116" s="15"/>
      <c r="E116" s="15"/>
      <c r="F116" s="15"/>
      <c r="G116" s="15"/>
      <c r="H116" s="18"/>
    </row>
    <row r="117" ht="15.75" customHeight="1">
      <c r="A117" s="108" t="s">
        <v>351</v>
      </c>
      <c r="B117" s="15"/>
      <c r="C117" s="15"/>
      <c r="D117" s="15"/>
      <c r="E117" s="15"/>
      <c r="F117" s="15"/>
      <c r="G117" s="15"/>
      <c r="H117" s="18"/>
    </row>
    <row r="118" ht="15.75" customHeight="1">
      <c r="A118" s="126"/>
      <c r="B118" s="100"/>
      <c r="C118" s="100"/>
      <c r="D118" s="100"/>
      <c r="E118" s="100"/>
      <c r="F118" s="100"/>
      <c r="G118" s="100"/>
      <c r="H118" s="102"/>
    </row>
    <row r="119" ht="15.75" customHeight="1">
      <c r="A119" s="122"/>
      <c r="H119" s="124"/>
    </row>
    <row r="120" ht="15.75" customHeight="1">
      <c r="A120" s="104"/>
      <c r="B120" s="105"/>
      <c r="C120" s="105"/>
      <c r="D120" s="105"/>
      <c r="E120" s="105"/>
      <c r="F120" s="105"/>
      <c r="G120" s="105"/>
      <c r="H120" s="107"/>
    </row>
    <row r="121" ht="15.75" customHeight="1">
      <c r="A121" s="108" t="s">
        <v>353</v>
      </c>
      <c r="B121" s="15"/>
      <c r="C121" s="15"/>
      <c r="D121" s="15"/>
      <c r="E121" s="15"/>
      <c r="F121" s="15"/>
      <c r="G121" s="15"/>
      <c r="H121" s="18"/>
    </row>
    <row r="122" ht="15.75" customHeight="1">
      <c r="A122" s="126"/>
      <c r="B122" s="100"/>
      <c r="C122" s="100"/>
      <c r="D122" s="100"/>
      <c r="E122" s="100"/>
      <c r="F122" s="100"/>
      <c r="G122" s="100"/>
      <c r="H122" s="102"/>
    </row>
    <row r="123" ht="15.75" customHeight="1">
      <c r="A123" s="122"/>
      <c r="H123" s="124"/>
    </row>
    <row r="124" ht="15.75" customHeight="1">
      <c r="A124" s="122"/>
      <c r="H124" s="124"/>
    </row>
    <row r="125" ht="15.75" customHeight="1">
      <c r="A125" s="104"/>
      <c r="B125" s="105"/>
      <c r="C125" s="105"/>
      <c r="D125" s="105"/>
      <c r="E125" s="105"/>
      <c r="F125" s="105"/>
      <c r="G125" s="105"/>
      <c r="H125" s="107"/>
    </row>
    <row r="126" ht="15.75" customHeight="1"/>
    <row r="127" ht="15.75" customHeight="1"/>
    <row r="128" ht="15.75" customHeight="1">
      <c r="A128" s="103" t="s">
        <v>490</v>
      </c>
      <c r="E128" s="73" t="s">
        <v>259</v>
      </c>
      <c r="F128" s="106"/>
      <c r="G128" s="73" t="s">
        <v>348</v>
      </c>
      <c r="H128" s="106"/>
    </row>
    <row r="129" ht="15.75" customHeight="1">
      <c r="A129" s="119" t="s">
        <v>357</v>
      </c>
    </row>
    <row r="130" ht="15.75" customHeight="1">
      <c r="A130" s="112" t="s">
        <v>274</v>
      </c>
      <c r="B130" s="14"/>
      <c r="C130" s="15"/>
      <c r="D130" s="15"/>
      <c r="E130" s="15"/>
      <c r="F130" s="15"/>
      <c r="G130" s="15"/>
      <c r="H130" s="18"/>
    </row>
    <row r="131" ht="15.75" customHeight="1">
      <c r="A131" s="112" t="s">
        <v>274</v>
      </c>
      <c r="B131" s="14"/>
      <c r="C131" s="15"/>
      <c r="D131" s="15"/>
      <c r="E131" s="15"/>
      <c r="F131" s="15"/>
      <c r="G131" s="15"/>
      <c r="H131" s="18"/>
    </row>
    <row r="132" ht="15.75" customHeight="1">
      <c r="A132" s="112" t="s">
        <v>274</v>
      </c>
      <c r="B132" s="14"/>
      <c r="C132" s="15"/>
      <c r="D132" s="15"/>
      <c r="E132" s="15"/>
      <c r="F132" s="15"/>
      <c r="G132" s="15"/>
      <c r="H132" s="18"/>
    </row>
    <row r="133" ht="15.75" customHeight="1">
      <c r="A133" s="112" t="s">
        <v>349</v>
      </c>
      <c r="B133" s="14"/>
      <c r="C133" s="15"/>
      <c r="D133" s="15"/>
      <c r="E133" s="15"/>
      <c r="F133" s="15"/>
      <c r="G133" s="15"/>
      <c r="H133" s="18"/>
    </row>
    <row r="134" ht="15.75" customHeight="1">
      <c r="A134" s="108" t="s">
        <v>351</v>
      </c>
      <c r="B134" s="15"/>
      <c r="C134" s="15"/>
      <c r="D134" s="15"/>
      <c r="E134" s="15"/>
      <c r="F134" s="15"/>
      <c r="G134" s="15"/>
      <c r="H134" s="18"/>
    </row>
    <row r="135" ht="15.75" customHeight="1">
      <c r="A135" s="126"/>
      <c r="B135" s="100"/>
      <c r="C135" s="100"/>
      <c r="D135" s="100"/>
      <c r="E135" s="100"/>
      <c r="F135" s="100"/>
      <c r="G135" s="100"/>
      <c r="H135" s="102"/>
    </row>
    <row r="136" ht="15.75" customHeight="1">
      <c r="A136" s="122"/>
      <c r="H136" s="124"/>
    </row>
    <row r="137" ht="15.75" customHeight="1">
      <c r="A137" s="104"/>
      <c r="B137" s="105"/>
      <c r="C137" s="105"/>
      <c r="D137" s="105"/>
      <c r="E137" s="105"/>
      <c r="F137" s="105"/>
      <c r="G137" s="105"/>
      <c r="H137" s="107"/>
    </row>
    <row r="138" ht="15.75" customHeight="1">
      <c r="A138" s="108" t="s">
        <v>353</v>
      </c>
      <c r="B138" s="15"/>
      <c r="C138" s="15"/>
      <c r="D138" s="15"/>
      <c r="E138" s="15"/>
      <c r="F138" s="15"/>
      <c r="G138" s="15"/>
      <c r="H138" s="18"/>
    </row>
    <row r="139" ht="15.75" customHeight="1">
      <c r="A139" s="126"/>
      <c r="B139" s="100"/>
      <c r="C139" s="100"/>
      <c r="D139" s="100"/>
      <c r="E139" s="100"/>
      <c r="F139" s="100"/>
      <c r="G139" s="100"/>
      <c r="H139" s="102"/>
    </row>
    <row r="140" ht="15.75" customHeight="1">
      <c r="A140" s="122"/>
      <c r="H140" s="124"/>
    </row>
    <row r="141" ht="15.75" customHeight="1">
      <c r="A141" s="122"/>
      <c r="H141" s="124"/>
    </row>
    <row r="142" ht="15.75" customHeight="1">
      <c r="A142" s="104"/>
      <c r="B142" s="105"/>
      <c r="C142" s="105"/>
      <c r="D142" s="105"/>
      <c r="E142" s="105"/>
      <c r="F142" s="105"/>
      <c r="G142" s="105"/>
      <c r="H142" s="107"/>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3">
    <mergeCell ref="A83:H83"/>
    <mergeCell ref="A84:H86"/>
    <mergeCell ref="A87:H87"/>
    <mergeCell ref="A88:H91"/>
    <mergeCell ref="A94:D94"/>
    <mergeCell ref="B96:H96"/>
    <mergeCell ref="B97:H97"/>
    <mergeCell ref="B98:H98"/>
    <mergeCell ref="B99:H99"/>
    <mergeCell ref="A100:H100"/>
    <mergeCell ref="A101:H103"/>
    <mergeCell ref="A104:H104"/>
    <mergeCell ref="A105:H108"/>
    <mergeCell ref="A111:D111"/>
    <mergeCell ref="A135:H137"/>
    <mergeCell ref="A138:H138"/>
    <mergeCell ref="A139:H142"/>
    <mergeCell ref="A122:H125"/>
    <mergeCell ref="A128:D128"/>
    <mergeCell ref="B130:H130"/>
    <mergeCell ref="B131:H131"/>
    <mergeCell ref="B132:H132"/>
    <mergeCell ref="B133:H133"/>
    <mergeCell ref="A134:H134"/>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A32:H32"/>
    <mergeCell ref="A33:H35"/>
    <mergeCell ref="A36:H36"/>
    <mergeCell ref="A37:H40"/>
    <mergeCell ref="A43:D43"/>
    <mergeCell ref="B45:H45"/>
    <mergeCell ref="B46:H46"/>
    <mergeCell ref="B47:H47"/>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B113:H113"/>
    <mergeCell ref="B114:H114"/>
    <mergeCell ref="B115:H115"/>
    <mergeCell ref="B116:H116"/>
    <mergeCell ref="A117:H117"/>
    <mergeCell ref="A118:H120"/>
    <mergeCell ref="A121:H121"/>
  </mergeCells>
  <dataValidations>
    <dataValidation type="list" allowBlank="1" showErrorMessage="1" sqref="B11:B13 B28:B30 B45:B47 B62: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1" t="s">
        <v>369</v>
      </c>
      <c r="B1" s="11" t="s">
        <v>370</v>
      </c>
      <c r="C1" s="11" t="s">
        <v>12</v>
      </c>
      <c r="D1" s="11" t="s">
        <v>18</v>
      </c>
    </row>
    <row r="2">
      <c r="A2" s="11" t="s">
        <v>372</v>
      </c>
      <c r="B2" s="11" t="str">
        <f>Competencias!C13</f>
        <v>El estudiante describe la arquitectura y los componentes fundamentales de un Sistema Operativo analizando la separación entre el espacio de usuario y el espacio de kernel para establecer las bases conceptuales necesarias para la modificación del sistema. </v>
      </c>
      <c r="C2" s="1" t="s">
        <v>20</v>
      </c>
      <c r="D2" s="1" t="s">
        <v>35</v>
      </c>
    </row>
    <row r="3">
      <c r="A3" s="11" t="s">
        <v>374</v>
      </c>
      <c r="B3" s="11" t="str">
        <f>Competencias!C15</f>
        <v>El estudiante crea módulos de monitoreo del sistema mediante la lectura e interpretación de estructuras internas del kernel para extraer y exponer métricas de rendimiento como uso de CPU, memoria y procesos activos en tiempo real </v>
      </c>
      <c r="C3" s="1" t="s">
        <v>375</v>
      </c>
      <c r="D3" s="1" t="s">
        <v>37</v>
      </c>
    </row>
    <row r="4">
      <c r="A4" s="11" t="s">
        <v>376</v>
      </c>
      <c r="B4" s="11" t="str">
        <f>Competencias!C17</f>
        <v>El estudiante desarrolla aplicaciones multihilo que gestionan de forma segura el acceso a recursos compartidos mediante la implementación de la API de PThreads y el uso de primitivas de sincronización como mutexes y semáforos para evitar condiciones de carrera, asegurar la consistencia de datos y prevenir interbloqueos (deadlocks). </v>
      </c>
      <c r="C4" s="1" t="s">
        <v>378</v>
      </c>
      <c r="D4" s="1" t="s">
        <v>379</v>
      </c>
    </row>
    <row r="5">
      <c r="A5" s="11" t="s">
        <v>380</v>
      </c>
      <c r="B5" s="11" t="str">
        <f>Competencias!C19</f>
        <v>El estudiante analiza la asignación de memoria física y lógica junto con el mapeo de direcciones en el sistema mediante el empleo de la MMU, tablas de páginas y algoritmos de reemplazo como FIFO o LRU para garantizar el aislamiento de procesos, prevenir la fragmentación y minimizar los fallos de página. </v>
      </c>
      <c r="C5" s="1" t="s">
        <v>36</v>
      </c>
      <c r="D5" s="1" t="s">
        <v>382</v>
      </c>
    </row>
    <row r="6">
      <c r="A6" s="11" t="s">
        <v>383</v>
      </c>
      <c r="B6" s="11" t="str">
        <f>Competencias!C21</f>
        <v>El estudiante evalúa las capacidades, limitaciones y características de seguridad de distintos sistemas operativos mediante la identificación de sus fortalezas, vulnerabilidades conocidas y mecanismos de protección (SELinux, AppArmor, namespaces) para seleccionarlos y aplicarlos estratégicamente, considerando criterios de seguridad, en proyectos y tareas profesionales. </v>
      </c>
      <c r="C6" s="1" t="s">
        <v>32</v>
      </c>
      <c r="D6" s="1" t="s">
        <v>385</v>
      </c>
    </row>
    <row r="7">
      <c r="A7" s="11" t="s">
        <v>386</v>
      </c>
      <c r="B7" s="11" t="str">
        <f>Competencias!C23</f>
        <v>El estudiante implementa nuevas llamadas al sistema (syscalls) y servicios personalizados dentro del núcleo, aplicando buenas prácticas de seguridad mediante la modificación del código fuente del kernel de Linux, la creación de módulos y el uso seguro de copy_from_user / copy_to_user para prevenir buffer overflows y escaladas de privilegios para extender la funcionalidad del sistema operativo permitiendo una comunicación eficiente y segura entre el espacio de usuario y el espacio de kernel. </v>
      </c>
      <c r="C7" s="1" t="s">
        <v>387</v>
      </c>
      <c r="D7" s="1" t="s">
        <v>388</v>
      </c>
    </row>
    <row r="8">
      <c r="A8" s="11" t="s">
        <v>389</v>
      </c>
      <c r="B8" s="11" t="str">
        <f>Competencias!C25</f>
        <v>El estudiante diseña aplicaciones en espacio de usuario integrando llamadas al sistema y el sistema de archivos /proc para generar comunicación eficiente entre el kernel y los procesos de usuario expandiendo las capacidades del sistema operativo </v>
      </c>
      <c r="C8" s="1" t="s">
        <v>391</v>
      </c>
      <c r="D8" s="1" t="s">
        <v>31</v>
      </c>
    </row>
    <row r="9">
      <c r="A9" s="11" t="s">
        <v>392</v>
      </c>
      <c r="C9" s="1" t="s">
        <v>393</v>
      </c>
    </row>
    <row r="10">
      <c r="A10" s="11" t="s">
        <v>394</v>
      </c>
      <c r="C10" s="1" t="s">
        <v>395</v>
      </c>
    </row>
    <row r="11">
      <c r="A11" s="11" t="s">
        <v>396</v>
      </c>
    </row>
    <row r="12">
      <c r="A12" s="11" t="s">
        <v>397</v>
      </c>
    </row>
    <row r="13">
      <c r="A13" s="11" t="s">
        <v>398</v>
      </c>
    </row>
    <row r="14">
      <c r="A14" s="11" t="s">
        <v>399</v>
      </c>
    </row>
    <row r="15">
      <c r="A15" s="11" t="s">
        <v>400</v>
      </c>
    </row>
    <row r="16">
      <c r="A16" s="11" t="s">
        <v>401</v>
      </c>
    </row>
    <row r="17">
      <c r="A17" s="11" t="s">
        <v>402</v>
      </c>
    </row>
    <row r="18">
      <c r="A18" s="11" t="s">
        <v>403</v>
      </c>
    </row>
    <row r="19">
      <c r="A19" s="11" t="s">
        <v>404</v>
      </c>
    </row>
    <row r="20">
      <c r="A20" s="11" t="s">
        <v>406</v>
      </c>
    </row>
    <row r="21">
      <c r="A21" s="11" t="s">
        <v>407</v>
      </c>
    </row>
    <row r="22">
      <c r="A22" s="11" t="s">
        <v>408</v>
      </c>
    </row>
    <row r="23">
      <c r="A23" s="11" t="s">
        <v>410</v>
      </c>
    </row>
    <row r="24">
      <c r="A24" s="11" t="s">
        <v>411</v>
      </c>
    </row>
    <row r="25">
      <c r="A25" s="11" t="s">
        <v>412</v>
      </c>
    </row>
    <row r="26">
      <c r="A26" s="11" t="s">
        <v>413</v>
      </c>
    </row>
    <row r="27">
      <c r="A27" s="11" t="s">
        <v>414</v>
      </c>
    </row>
    <row r="28">
      <c r="A28" s="11" t="s">
        <v>415</v>
      </c>
    </row>
    <row r="29">
      <c r="A29" s="11" t="s">
        <v>417</v>
      </c>
    </row>
    <row r="30">
      <c r="A30" s="11" t="s">
        <v>418</v>
      </c>
    </row>
    <row r="31">
      <c r="A31" s="11" t="s">
        <v>419</v>
      </c>
    </row>
    <row r="32">
      <c r="A32" s="11" t="s">
        <v>420</v>
      </c>
    </row>
    <row r="33">
      <c r="A33" s="11" t="s">
        <v>421</v>
      </c>
    </row>
    <row r="34">
      <c r="A34" s="11" t="s">
        <v>422</v>
      </c>
    </row>
    <row r="35">
      <c r="A35" s="11" t="s">
        <v>423</v>
      </c>
    </row>
    <row r="36">
      <c r="A36" s="11" t="s">
        <v>424</v>
      </c>
    </row>
    <row r="37">
      <c r="A37" s="11" t="s">
        <v>425</v>
      </c>
    </row>
    <row r="38">
      <c r="A38" s="11" t="s">
        <v>426</v>
      </c>
    </row>
    <row r="39">
      <c r="A39" s="11" t="s">
        <v>427</v>
      </c>
    </row>
    <row r="40">
      <c r="A40" s="11" t="s">
        <v>428</v>
      </c>
    </row>
    <row r="41">
      <c r="A41" s="11" t="s">
        <v>429</v>
      </c>
    </row>
    <row r="42">
      <c r="A42" s="11" t="s">
        <v>430</v>
      </c>
    </row>
    <row r="43">
      <c r="A43" s="11" t="s">
        <v>431</v>
      </c>
    </row>
    <row r="44">
      <c r="A44" s="11" t="s">
        <v>432</v>
      </c>
    </row>
    <row r="45">
      <c r="A45" s="11" t="s">
        <v>433</v>
      </c>
    </row>
    <row r="46">
      <c r="A46" s="11" t="s">
        <v>434</v>
      </c>
    </row>
    <row r="47">
      <c r="A47" s="11" t="s">
        <v>435</v>
      </c>
    </row>
    <row r="48">
      <c r="A48" s="11" t="s">
        <v>436</v>
      </c>
    </row>
    <row r="49">
      <c r="A49" s="11" t="s">
        <v>437</v>
      </c>
    </row>
    <row r="50">
      <c r="A50" s="11" t="s">
        <v>438</v>
      </c>
    </row>
    <row r="51">
      <c r="A51" s="11" t="s">
        <v>439</v>
      </c>
    </row>
    <row r="52">
      <c r="A52" s="11" t="s">
        <v>4</v>
      </c>
    </row>
    <row r="53">
      <c r="A53" s="11" t="s">
        <v>440</v>
      </c>
    </row>
    <row r="54">
      <c r="A54" s="11" t="s">
        <v>441</v>
      </c>
    </row>
    <row r="55">
      <c r="A55" s="11" t="s">
        <v>442</v>
      </c>
    </row>
    <row r="56">
      <c r="A56" s="11" t="s">
        <v>443</v>
      </c>
    </row>
    <row r="57">
      <c r="A57" s="11" t="s">
        <v>444</v>
      </c>
    </row>
    <row r="58">
      <c r="A58" s="11" t="s">
        <v>445</v>
      </c>
    </row>
    <row r="59">
      <c r="A59" s="11" t="s">
        <v>446</v>
      </c>
    </row>
    <row r="60">
      <c r="A60" s="11" t="s">
        <v>447</v>
      </c>
    </row>
    <row r="61">
      <c r="A61" s="11" t="s">
        <v>448</v>
      </c>
    </row>
    <row r="62">
      <c r="A62" s="11" t="s">
        <v>449</v>
      </c>
    </row>
    <row r="63">
      <c r="A63" s="11" t="s">
        <v>450</v>
      </c>
    </row>
    <row r="64">
      <c r="A64" s="11" t="s">
        <v>451</v>
      </c>
    </row>
    <row r="65">
      <c r="A65" s="11" t="s">
        <v>452</v>
      </c>
    </row>
    <row r="66">
      <c r="A66" s="11" t="s">
        <v>453</v>
      </c>
    </row>
    <row r="67">
      <c r="A67" s="11" t="s">
        <v>455</v>
      </c>
    </row>
    <row r="68">
      <c r="A68" s="11" t="s">
        <v>456</v>
      </c>
    </row>
    <row r="69">
      <c r="A69" s="11" t="s">
        <v>457</v>
      </c>
    </row>
    <row r="70">
      <c r="A70" s="11" t="s">
        <v>458</v>
      </c>
    </row>
    <row r="71">
      <c r="A71" s="11" t="s">
        <v>459</v>
      </c>
    </row>
    <row r="72">
      <c r="A72" s="11" t="s">
        <v>460</v>
      </c>
    </row>
    <row r="73">
      <c r="A73" s="11" t="s">
        <v>461</v>
      </c>
    </row>
    <row r="74">
      <c r="A74" s="11" t="s">
        <v>462</v>
      </c>
    </row>
    <row r="75">
      <c r="A75" s="11" t="s">
        <v>463</v>
      </c>
    </row>
    <row r="76">
      <c r="A76" s="11" t="s">
        <v>464</v>
      </c>
    </row>
    <row r="77">
      <c r="A77" s="11" t="s">
        <v>465</v>
      </c>
    </row>
    <row r="78">
      <c r="A78" s="11" t="s">
        <v>467</v>
      </c>
    </row>
    <row r="79">
      <c r="A79" s="11" t="s">
        <v>468</v>
      </c>
    </row>
    <row r="80">
      <c r="A80" s="11" t="s">
        <v>469</v>
      </c>
    </row>
    <row r="81">
      <c r="A81" s="11" t="s">
        <v>470</v>
      </c>
    </row>
  </sheetData>
  <drawing r:id="rId1"/>
</worksheet>
</file>